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3ab31fb92e6ed8de/Desktop/Invoice_data_verification_reconciliation_project/"/>
    </mc:Choice>
  </mc:AlternateContent>
  <xr:revisionPtr revIDLastSave="545" documentId="8_{B19D0792-BB57-422C-8076-3D6F0F46FD54}" xr6:coauthVersionLast="47" xr6:coauthVersionMax="47" xr10:uidLastSave="{0D00C19A-9C57-4035-961C-9EB307DDBE14}"/>
  <bookViews>
    <workbookView xWindow="-90" yWindow="0" windowWidth="11700" windowHeight="10170" firstSheet="1" activeTab="1" xr2:uid="{00000000-000D-0000-FFFF-FFFF00000000}"/>
  </bookViews>
  <sheets>
    <sheet name="Raw_Invoice_Data" sheetId="1" r:id="rId1"/>
    <sheet name="tbl_invoices" sheetId="3" r:id="rId2"/>
    <sheet name="QC_summary" sheetId="4" r:id="rId3"/>
    <sheet name="Invoice_dashboard" sheetId="5" r:id="rId4"/>
    <sheet name="Project_Overview" sheetId="2" r:id="rId5"/>
  </sheets>
  <definedNames>
    <definedName name="_xlnm._FilterDatabase" localSheetId="0" hidden="1">Raw_Invoice_Data!$A$1:$G$151</definedName>
    <definedName name="_xlnm._FilterDatabase" localSheetId="1" hidden="1">tbl_invoices!$A$1:$M$151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5" l="1"/>
  <c r="H7" i="4"/>
  <c r="H6" i="4"/>
  <c r="H5" i="4"/>
  <c r="H4" i="4"/>
  <c r="H3" i="4"/>
  <c r="B18" i="4"/>
  <c r="B17" i="4"/>
  <c r="B16" i="4"/>
  <c r="B15" i="4"/>
  <c r="B14" i="4"/>
  <c r="B19" i="4" s="1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B3" i="4"/>
  <c r="A4" i="5" s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I76" i="3" s="1"/>
  <c r="J76" i="3" s="1"/>
  <c r="K76" i="3" s="1"/>
  <c r="L76" i="3" s="1"/>
  <c r="H77" i="3"/>
  <c r="I77" i="3" s="1"/>
  <c r="J77" i="3" s="1"/>
  <c r="K77" i="3" s="1"/>
  <c r="L77" i="3" s="1"/>
  <c r="H78" i="3"/>
  <c r="I78" i="3" s="1"/>
  <c r="J78" i="3" s="1"/>
  <c r="K78" i="3" s="1"/>
  <c r="L78" i="3" s="1"/>
  <c r="H79" i="3"/>
  <c r="I79" i="3" s="1"/>
  <c r="J79" i="3" s="1"/>
  <c r="K79" i="3" s="1"/>
  <c r="L79" i="3" s="1"/>
  <c r="H80" i="3"/>
  <c r="I80" i="3" s="1"/>
  <c r="J80" i="3" s="1"/>
  <c r="K80" i="3" s="1"/>
  <c r="L80" i="3" s="1"/>
  <c r="H81" i="3"/>
  <c r="I81" i="3" s="1"/>
  <c r="J81" i="3" s="1"/>
  <c r="K81" i="3" s="1"/>
  <c r="L81" i="3" s="1"/>
  <c r="H82" i="3"/>
  <c r="I82" i="3" s="1"/>
  <c r="J82" i="3" s="1"/>
  <c r="K82" i="3" s="1"/>
  <c r="L82" i="3" s="1"/>
  <c r="H83" i="3"/>
  <c r="I83" i="3" s="1"/>
  <c r="J83" i="3" s="1"/>
  <c r="K83" i="3" s="1"/>
  <c r="L83" i="3" s="1"/>
  <c r="H84" i="3"/>
  <c r="I84" i="3" s="1"/>
  <c r="J84" i="3" s="1"/>
  <c r="K84" i="3" s="1"/>
  <c r="L84" i="3" s="1"/>
  <c r="H85" i="3"/>
  <c r="I85" i="3" s="1"/>
  <c r="J85" i="3" s="1"/>
  <c r="K85" i="3" s="1"/>
  <c r="L85" i="3" s="1"/>
  <c r="H86" i="3"/>
  <c r="I86" i="3" s="1"/>
  <c r="J86" i="3" s="1"/>
  <c r="K86" i="3" s="1"/>
  <c r="L86" i="3" s="1"/>
  <c r="H87" i="3"/>
  <c r="I87" i="3" s="1"/>
  <c r="J87" i="3" s="1"/>
  <c r="K87" i="3" s="1"/>
  <c r="L87" i="3" s="1"/>
  <c r="H88" i="3"/>
  <c r="I88" i="3" s="1"/>
  <c r="J88" i="3" s="1"/>
  <c r="K88" i="3" s="1"/>
  <c r="L88" i="3" s="1"/>
  <c r="H89" i="3"/>
  <c r="I89" i="3" s="1"/>
  <c r="J89" i="3" s="1"/>
  <c r="K89" i="3" s="1"/>
  <c r="L89" i="3" s="1"/>
  <c r="H90" i="3"/>
  <c r="I90" i="3" s="1"/>
  <c r="J90" i="3" s="1"/>
  <c r="K90" i="3" s="1"/>
  <c r="L90" i="3" s="1"/>
  <c r="H91" i="3"/>
  <c r="I91" i="3" s="1"/>
  <c r="J91" i="3" s="1"/>
  <c r="K91" i="3" s="1"/>
  <c r="L91" i="3" s="1"/>
  <c r="H92" i="3"/>
  <c r="I92" i="3" s="1"/>
  <c r="J92" i="3" s="1"/>
  <c r="K92" i="3" s="1"/>
  <c r="L92" i="3" s="1"/>
  <c r="H93" i="3"/>
  <c r="I93" i="3" s="1"/>
  <c r="J93" i="3" s="1"/>
  <c r="K93" i="3" s="1"/>
  <c r="L93" i="3" s="1"/>
  <c r="H94" i="3"/>
  <c r="I94" i="3" s="1"/>
  <c r="J94" i="3" s="1"/>
  <c r="K94" i="3" s="1"/>
  <c r="L94" i="3" s="1"/>
  <c r="H95" i="3"/>
  <c r="I95" i="3" s="1"/>
  <c r="J95" i="3" s="1"/>
  <c r="K95" i="3" s="1"/>
  <c r="L95" i="3" s="1"/>
  <c r="H96" i="3"/>
  <c r="I96" i="3" s="1"/>
  <c r="J96" i="3" s="1"/>
  <c r="K96" i="3" s="1"/>
  <c r="L96" i="3" s="1"/>
  <c r="H97" i="3"/>
  <c r="I97" i="3" s="1"/>
  <c r="J97" i="3" s="1"/>
  <c r="K97" i="3" s="1"/>
  <c r="L97" i="3" s="1"/>
  <c r="H98" i="3"/>
  <c r="I98" i="3" s="1"/>
  <c r="J98" i="3" s="1"/>
  <c r="K98" i="3" s="1"/>
  <c r="L98" i="3" s="1"/>
  <c r="H99" i="3"/>
  <c r="I99" i="3" s="1"/>
  <c r="J99" i="3" s="1"/>
  <c r="K99" i="3" s="1"/>
  <c r="L99" i="3" s="1"/>
  <c r="H100" i="3"/>
  <c r="I100" i="3" s="1"/>
  <c r="J100" i="3" s="1"/>
  <c r="K100" i="3" s="1"/>
  <c r="L100" i="3" s="1"/>
  <c r="H101" i="3"/>
  <c r="I101" i="3" s="1"/>
  <c r="J101" i="3" s="1"/>
  <c r="K101" i="3" s="1"/>
  <c r="L101" i="3" s="1"/>
  <c r="H102" i="3"/>
  <c r="I102" i="3" s="1"/>
  <c r="J102" i="3" s="1"/>
  <c r="K102" i="3" s="1"/>
  <c r="L102" i="3" s="1"/>
  <c r="H103" i="3"/>
  <c r="I103" i="3" s="1"/>
  <c r="J103" i="3" s="1"/>
  <c r="K103" i="3" s="1"/>
  <c r="L103" i="3" s="1"/>
  <c r="H104" i="3"/>
  <c r="I104" i="3" s="1"/>
  <c r="J104" i="3" s="1"/>
  <c r="K104" i="3" s="1"/>
  <c r="L104" i="3" s="1"/>
  <c r="H105" i="3"/>
  <c r="I105" i="3" s="1"/>
  <c r="J105" i="3" s="1"/>
  <c r="K105" i="3" s="1"/>
  <c r="L105" i="3" s="1"/>
  <c r="H106" i="3"/>
  <c r="I106" i="3" s="1"/>
  <c r="J106" i="3" s="1"/>
  <c r="K106" i="3" s="1"/>
  <c r="L106" i="3" s="1"/>
  <c r="H107" i="3"/>
  <c r="I107" i="3" s="1"/>
  <c r="J107" i="3" s="1"/>
  <c r="K107" i="3" s="1"/>
  <c r="L107" i="3" s="1"/>
  <c r="H108" i="3"/>
  <c r="I108" i="3" s="1"/>
  <c r="J108" i="3" s="1"/>
  <c r="K108" i="3" s="1"/>
  <c r="L108" i="3" s="1"/>
  <c r="H109" i="3"/>
  <c r="I109" i="3" s="1"/>
  <c r="J109" i="3" s="1"/>
  <c r="K109" i="3" s="1"/>
  <c r="L109" i="3" s="1"/>
  <c r="H110" i="3"/>
  <c r="I110" i="3" s="1"/>
  <c r="J110" i="3" s="1"/>
  <c r="K110" i="3" s="1"/>
  <c r="L110" i="3" s="1"/>
  <c r="H111" i="3"/>
  <c r="I111" i="3" s="1"/>
  <c r="J111" i="3" s="1"/>
  <c r="K111" i="3" s="1"/>
  <c r="L111" i="3" s="1"/>
  <c r="H112" i="3"/>
  <c r="I112" i="3" s="1"/>
  <c r="J112" i="3" s="1"/>
  <c r="K112" i="3" s="1"/>
  <c r="L112" i="3" s="1"/>
  <c r="H113" i="3"/>
  <c r="I113" i="3" s="1"/>
  <c r="J113" i="3" s="1"/>
  <c r="K113" i="3" s="1"/>
  <c r="L113" i="3" s="1"/>
  <c r="H114" i="3"/>
  <c r="I114" i="3" s="1"/>
  <c r="J114" i="3" s="1"/>
  <c r="K114" i="3" s="1"/>
  <c r="L114" i="3" s="1"/>
  <c r="H115" i="3"/>
  <c r="I115" i="3" s="1"/>
  <c r="J115" i="3" s="1"/>
  <c r="K115" i="3" s="1"/>
  <c r="L115" i="3" s="1"/>
  <c r="H116" i="3"/>
  <c r="I116" i="3" s="1"/>
  <c r="J116" i="3" s="1"/>
  <c r="K116" i="3" s="1"/>
  <c r="L116" i="3" s="1"/>
  <c r="H117" i="3"/>
  <c r="I117" i="3" s="1"/>
  <c r="J117" i="3" s="1"/>
  <c r="K117" i="3" s="1"/>
  <c r="L117" i="3" s="1"/>
  <c r="H118" i="3"/>
  <c r="I118" i="3" s="1"/>
  <c r="J118" i="3" s="1"/>
  <c r="K118" i="3" s="1"/>
  <c r="L118" i="3" s="1"/>
  <c r="H119" i="3"/>
  <c r="I119" i="3" s="1"/>
  <c r="J119" i="3" s="1"/>
  <c r="K119" i="3" s="1"/>
  <c r="L119" i="3" s="1"/>
  <c r="H120" i="3"/>
  <c r="I120" i="3" s="1"/>
  <c r="J120" i="3" s="1"/>
  <c r="K120" i="3" s="1"/>
  <c r="L120" i="3" s="1"/>
  <c r="H121" i="3"/>
  <c r="I121" i="3" s="1"/>
  <c r="J121" i="3" s="1"/>
  <c r="K121" i="3" s="1"/>
  <c r="L121" i="3" s="1"/>
  <c r="H122" i="3"/>
  <c r="I122" i="3" s="1"/>
  <c r="J122" i="3" s="1"/>
  <c r="K122" i="3" s="1"/>
  <c r="L122" i="3" s="1"/>
  <c r="H123" i="3"/>
  <c r="I123" i="3" s="1"/>
  <c r="J123" i="3" s="1"/>
  <c r="K123" i="3" s="1"/>
  <c r="L123" i="3" s="1"/>
  <c r="H124" i="3"/>
  <c r="I124" i="3" s="1"/>
  <c r="J124" i="3" s="1"/>
  <c r="K124" i="3" s="1"/>
  <c r="L124" i="3" s="1"/>
  <c r="H125" i="3"/>
  <c r="I125" i="3" s="1"/>
  <c r="J125" i="3" s="1"/>
  <c r="K125" i="3" s="1"/>
  <c r="L125" i="3" s="1"/>
  <c r="H126" i="3"/>
  <c r="I126" i="3" s="1"/>
  <c r="J126" i="3" s="1"/>
  <c r="K126" i="3" s="1"/>
  <c r="L126" i="3" s="1"/>
  <c r="H127" i="3"/>
  <c r="I127" i="3" s="1"/>
  <c r="J127" i="3" s="1"/>
  <c r="K127" i="3" s="1"/>
  <c r="L127" i="3" s="1"/>
  <c r="H128" i="3"/>
  <c r="I128" i="3" s="1"/>
  <c r="J128" i="3" s="1"/>
  <c r="K128" i="3" s="1"/>
  <c r="L128" i="3" s="1"/>
  <c r="H129" i="3"/>
  <c r="I129" i="3" s="1"/>
  <c r="J129" i="3" s="1"/>
  <c r="K129" i="3" s="1"/>
  <c r="L129" i="3" s="1"/>
  <c r="H130" i="3"/>
  <c r="I130" i="3" s="1"/>
  <c r="J130" i="3" s="1"/>
  <c r="K130" i="3" s="1"/>
  <c r="L130" i="3" s="1"/>
  <c r="H131" i="3"/>
  <c r="I131" i="3" s="1"/>
  <c r="J131" i="3" s="1"/>
  <c r="K131" i="3" s="1"/>
  <c r="L131" i="3" s="1"/>
  <c r="H132" i="3"/>
  <c r="I132" i="3" s="1"/>
  <c r="J132" i="3" s="1"/>
  <c r="K132" i="3" s="1"/>
  <c r="L132" i="3" s="1"/>
  <c r="H133" i="3"/>
  <c r="I133" i="3" s="1"/>
  <c r="J133" i="3" s="1"/>
  <c r="K133" i="3" s="1"/>
  <c r="L133" i="3" s="1"/>
  <c r="H134" i="3"/>
  <c r="I134" i="3" s="1"/>
  <c r="J134" i="3" s="1"/>
  <c r="K134" i="3" s="1"/>
  <c r="L134" i="3" s="1"/>
  <c r="H135" i="3"/>
  <c r="I135" i="3" s="1"/>
  <c r="J135" i="3" s="1"/>
  <c r="K135" i="3" s="1"/>
  <c r="L135" i="3" s="1"/>
  <c r="H136" i="3"/>
  <c r="I136" i="3" s="1"/>
  <c r="J136" i="3" s="1"/>
  <c r="K136" i="3" s="1"/>
  <c r="L136" i="3" s="1"/>
  <c r="H137" i="3"/>
  <c r="I137" i="3" s="1"/>
  <c r="J137" i="3" s="1"/>
  <c r="K137" i="3" s="1"/>
  <c r="L137" i="3" s="1"/>
  <c r="H138" i="3"/>
  <c r="I138" i="3" s="1"/>
  <c r="J138" i="3" s="1"/>
  <c r="K138" i="3" s="1"/>
  <c r="L138" i="3" s="1"/>
  <c r="H139" i="3"/>
  <c r="I139" i="3" s="1"/>
  <c r="J139" i="3" s="1"/>
  <c r="K139" i="3" s="1"/>
  <c r="L139" i="3" s="1"/>
  <c r="H140" i="3"/>
  <c r="I140" i="3" s="1"/>
  <c r="J140" i="3" s="1"/>
  <c r="K140" i="3" s="1"/>
  <c r="L140" i="3" s="1"/>
  <c r="H141" i="3"/>
  <c r="I141" i="3" s="1"/>
  <c r="J141" i="3" s="1"/>
  <c r="K141" i="3" s="1"/>
  <c r="L141" i="3" s="1"/>
  <c r="H142" i="3"/>
  <c r="I142" i="3" s="1"/>
  <c r="J142" i="3" s="1"/>
  <c r="K142" i="3" s="1"/>
  <c r="L142" i="3" s="1"/>
  <c r="H143" i="3"/>
  <c r="I143" i="3" s="1"/>
  <c r="J143" i="3" s="1"/>
  <c r="K143" i="3" s="1"/>
  <c r="L143" i="3" s="1"/>
  <c r="H144" i="3"/>
  <c r="I144" i="3" s="1"/>
  <c r="J144" i="3" s="1"/>
  <c r="K144" i="3" s="1"/>
  <c r="L144" i="3" s="1"/>
  <c r="H145" i="3"/>
  <c r="I145" i="3" s="1"/>
  <c r="J145" i="3" s="1"/>
  <c r="K145" i="3" s="1"/>
  <c r="L145" i="3" s="1"/>
  <c r="H146" i="3"/>
  <c r="I146" i="3" s="1"/>
  <c r="J146" i="3" s="1"/>
  <c r="K146" i="3" s="1"/>
  <c r="L146" i="3" s="1"/>
  <c r="H147" i="3"/>
  <c r="I147" i="3" s="1"/>
  <c r="J147" i="3" s="1"/>
  <c r="K147" i="3" s="1"/>
  <c r="L147" i="3" s="1"/>
  <c r="H148" i="3"/>
  <c r="I148" i="3" s="1"/>
  <c r="J148" i="3" s="1"/>
  <c r="K148" i="3" s="1"/>
  <c r="L148" i="3" s="1"/>
  <c r="H149" i="3"/>
  <c r="I149" i="3" s="1"/>
  <c r="J149" i="3" s="1"/>
  <c r="K149" i="3" s="1"/>
  <c r="L149" i="3" s="1"/>
  <c r="H150" i="3"/>
  <c r="H151" i="3"/>
  <c r="I151" i="3" s="1"/>
  <c r="J151" i="3" s="1"/>
  <c r="K151" i="3" s="1"/>
  <c r="L151" i="3" s="1"/>
  <c r="H2" i="3"/>
  <c r="I2" i="3" s="1"/>
  <c r="J2" i="3" s="1"/>
  <c r="K2" i="3" s="1"/>
  <c r="L2" i="3" s="1"/>
  <c r="B11" i="4" l="1"/>
  <c r="B10" i="4"/>
  <c r="E5" i="4"/>
  <c r="B6" i="4"/>
  <c r="G4" i="5" s="1"/>
  <c r="B7" i="4"/>
  <c r="B9" i="4" s="1"/>
  <c r="C8" i="5" s="1"/>
  <c r="I3" i="3"/>
  <c r="J3" i="3" s="1"/>
  <c r="K3" i="3" s="1"/>
  <c r="L3" i="3" s="1"/>
  <c r="I4" i="3"/>
  <c r="J4" i="3" s="1"/>
  <c r="K4" i="3" s="1"/>
  <c r="L4" i="3" s="1"/>
  <c r="I5" i="3"/>
  <c r="J5" i="3" s="1"/>
  <c r="K5" i="3" s="1"/>
  <c r="L5" i="3" s="1"/>
  <c r="I6" i="3"/>
  <c r="J6" i="3" s="1"/>
  <c r="K6" i="3" s="1"/>
  <c r="L6" i="3" s="1"/>
  <c r="I7" i="3"/>
  <c r="J7" i="3" s="1"/>
  <c r="K7" i="3" s="1"/>
  <c r="L7" i="3" s="1"/>
  <c r="I8" i="3"/>
  <c r="J8" i="3" s="1"/>
  <c r="K8" i="3" s="1"/>
  <c r="L8" i="3" s="1"/>
  <c r="I9" i="3"/>
  <c r="J9" i="3" s="1"/>
  <c r="K9" i="3" s="1"/>
  <c r="L9" i="3" s="1"/>
  <c r="I10" i="3"/>
  <c r="J10" i="3" s="1"/>
  <c r="K10" i="3" s="1"/>
  <c r="L10" i="3" s="1"/>
  <c r="I11" i="3"/>
  <c r="J11" i="3" s="1"/>
  <c r="K11" i="3" s="1"/>
  <c r="L11" i="3" s="1"/>
  <c r="I12" i="3"/>
  <c r="J12" i="3" s="1"/>
  <c r="K12" i="3" s="1"/>
  <c r="L12" i="3" s="1"/>
  <c r="I13" i="3"/>
  <c r="J13" i="3" s="1"/>
  <c r="K13" i="3" s="1"/>
  <c r="L13" i="3" s="1"/>
  <c r="I14" i="3"/>
  <c r="J14" i="3" s="1"/>
  <c r="K14" i="3" s="1"/>
  <c r="L14" i="3" s="1"/>
  <c r="I15" i="3"/>
  <c r="J15" i="3"/>
  <c r="K15" i="3" s="1"/>
  <c r="L15" i="3" s="1"/>
  <c r="I16" i="3"/>
  <c r="J16" i="3" s="1"/>
  <c r="K16" i="3" s="1"/>
  <c r="L16" i="3" s="1"/>
  <c r="I17" i="3"/>
  <c r="J17" i="3" s="1"/>
  <c r="K17" i="3" s="1"/>
  <c r="L17" i="3" s="1"/>
  <c r="I18" i="3"/>
  <c r="J18" i="3" s="1"/>
  <c r="K18" i="3" s="1"/>
  <c r="L18" i="3" s="1"/>
  <c r="I19" i="3"/>
  <c r="J19" i="3" s="1"/>
  <c r="K19" i="3" s="1"/>
  <c r="L19" i="3" s="1"/>
  <c r="I20" i="3"/>
  <c r="J20" i="3" s="1"/>
  <c r="K20" i="3" s="1"/>
  <c r="L20" i="3" s="1"/>
  <c r="I21" i="3"/>
  <c r="J21" i="3" s="1"/>
  <c r="K21" i="3" s="1"/>
  <c r="L21" i="3" s="1"/>
  <c r="I22" i="3"/>
  <c r="J22" i="3"/>
  <c r="K22" i="3" s="1"/>
  <c r="L22" i="3" s="1"/>
  <c r="I23" i="3"/>
  <c r="J23" i="3"/>
  <c r="K23" i="3" s="1"/>
  <c r="L23" i="3" s="1"/>
  <c r="I24" i="3"/>
  <c r="J24" i="3"/>
  <c r="K24" i="3" s="1"/>
  <c r="L24" i="3" s="1"/>
  <c r="I25" i="3"/>
  <c r="J25" i="3" s="1"/>
  <c r="K25" i="3" s="1"/>
  <c r="L25" i="3" s="1"/>
  <c r="I26" i="3"/>
  <c r="J26" i="3" s="1"/>
  <c r="K26" i="3" s="1"/>
  <c r="L26" i="3" s="1"/>
  <c r="I27" i="3"/>
  <c r="J27" i="3" s="1"/>
  <c r="K27" i="3" s="1"/>
  <c r="L27" i="3" s="1"/>
  <c r="I28" i="3"/>
  <c r="J28" i="3" s="1"/>
  <c r="K28" i="3" s="1"/>
  <c r="L28" i="3" s="1"/>
  <c r="I29" i="3"/>
  <c r="J29" i="3" s="1"/>
  <c r="K29" i="3" s="1"/>
  <c r="L29" i="3" s="1"/>
  <c r="I30" i="3"/>
  <c r="J30" i="3"/>
  <c r="K30" i="3" s="1"/>
  <c r="L30" i="3" s="1"/>
  <c r="I31" i="3"/>
  <c r="J31" i="3"/>
  <c r="K31" i="3" s="1"/>
  <c r="L31" i="3" s="1"/>
  <c r="I32" i="3"/>
  <c r="J32" i="3" s="1"/>
  <c r="K32" i="3" s="1"/>
  <c r="L32" i="3" s="1"/>
  <c r="I33" i="3"/>
  <c r="J33" i="3"/>
  <c r="K33" i="3" s="1"/>
  <c r="L33" i="3" s="1"/>
  <c r="I34" i="3"/>
  <c r="J34" i="3" s="1"/>
  <c r="K34" i="3" s="1"/>
  <c r="L34" i="3" s="1"/>
  <c r="I35" i="3"/>
  <c r="J35" i="3"/>
  <c r="K35" i="3" s="1"/>
  <c r="L35" i="3" s="1"/>
  <c r="I36" i="3"/>
  <c r="J36" i="3"/>
  <c r="K36" i="3" s="1"/>
  <c r="L36" i="3" s="1"/>
  <c r="I37" i="3"/>
  <c r="J37" i="3"/>
  <c r="K37" i="3" s="1"/>
  <c r="L37" i="3" s="1"/>
  <c r="I38" i="3"/>
  <c r="J38" i="3"/>
  <c r="K38" i="3" s="1"/>
  <c r="L38" i="3" s="1"/>
  <c r="I39" i="3"/>
  <c r="J39" i="3"/>
  <c r="K39" i="3" s="1"/>
  <c r="L39" i="3" s="1"/>
  <c r="I40" i="3"/>
  <c r="J40" i="3"/>
  <c r="K40" i="3" s="1"/>
  <c r="L40" i="3" s="1"/>
  <c r="I41" i="3"/>
  <c r="J41" i="3"/>
  <c r="K41" i="3" s="1"/>
  <c r="L41" i="3" s="1"/>
  <c r="I42" i="3"/>
  <c r="J42" i="3"/>
  <c r="K42" i="3" s="1"/>
  <c r="L42" i="3" s="1"/>
  <c r="I43" i="3"/>
  <c r="J43" i="3" s="1"/>
  <c r="K43" i="3" s="1"/>
  <c r="L43" i="3" s="1"/>
  <c r="I44" i="3"/>
  <c r="J44" i="3" s="1"/>
  <c r="K44" i="3" s="1"/>
  <c r="L44" i="3" s="1"/>
  <c r="I45" i="3"/>
  <c r="J45" i="3" s="1"/>
  <c r="K45" i="3" s="1"/>
  <c r="L45" i="3" s="1"/>
  <c r="I46" i="3"/>
  <c r="J46" i="3" s="1"/>
  <c r="K46" i="3" s="1"/>
  <c r="L46" i="3" s="1"/>
  <c r="I47" i="3"/>
  <c r="J47" i="3" s="1"/>
  <c r="K47" i="3" s="1"/>
  <c r="L47" i="3" s="1"/>
  <c r="I48" i="3"/>
  <c r="J48" i="3" s="1"/>
  <c r="K48" i="3" s="1"/>
  <c r="L48" i="3" s="1"/>
  <c r="I49" i="3"/>
  <c r="J49" i="3" s="1"/>
  <c r="K49" i="3" s="1"/>
  <c r="L49" i="3" s="1"/>
  <c r="I50" i="3"/>
  <c r="J50" i="3" s="1"/>
  <c r="K50" i="3" s="1"/>
  <c r="L50" i="3" s="1"/>
  <c r="I51" i="3"/>
  <c r="J51" i="3"/>
  <c r="K51" i="3" s="1"/>
  <c r="L51" i="3" s="1"/>
  <c r="I52" i="3"/>
  <c r="J52" i="3" s="1"/>
  <c r="K52" i="3" s="1"/>
  <c r="L52" i="3" s="1"/>
  <c r="I53" i="3"/>
  <c r="J53" i="3"/>
  <c r="K53" i="3" s="1"/>
  <c r="L53" i="3" s="1"/>
  <c r="I54" i="3"/>
  <c r="J54" i="3"/>
  <c r="K54" i="3" s="1"/>
  <c r="L54" i="3" s="1"/>
  <c r="I55" i="3"/>
  <c r="J55" i="3" s="1"/>
  <c r="K55" i="3" s="1"/>
  <c r="L55" i="3" s="1"/>
  <c r="I56" i="3"/>
  <c r="J56" i="3" s="1"/>
  <c r="K56" i="3" s="1"/>
  <c r="L56" i="3" s="1"/>
  <c r="I57" i="3"/>
  <c r="J57" i="3" s="1"/>
  <c r="K57" i="3" s="1"/>
  <c r="L57" i="3" s="1"/>
  <c r="I58" i="3"/>
  <c r="J58" i="3" s="1"/>
  <c r="K58" i="3" s="1"/>
  <c r="L58" i="3" s="1"/>
  <c r="I59" i="3"/>
  <c r="J59" i="3" s="1"/>
  <c r="K59" i="3" s="1"/>
  <c r="L59" i="3" s="1"/>
  <c r="I60" i="3"/>
  <c r="J60" i="3" s="1"/>
  <c r="K60" i="3" s="1"/>
  <c r="L60" i="3" s="1"/>
  <c r="I61" i="3"/>
  <c r="J61" i="3" s="1"/>
  <c r="K61" i="3" s="1"/>
  <c r="L61" i="3" s="1"/>
  <c r="I62" i="3"/>
  <c r="J62" i="3" s="1"/>
  <c r="K62" i="3" s="1"/>
  <c r="L62" i="3" s="1"/>
  <c r="I63" i="3"/>
  <c r="J63" i="3" s="1"/>
  <c r="K63" i="3" s="1"/>
  <c r="L63" i="3" s="1"/>
  <c r="I64" i="3"/>
  <c r="J64" i="3" s="1"/>
  <c r="K64" i="3" s="1"/>
  <c r="L64" i="3" s="1"/>
  <c r="I65" i="3"/>
  <c r="J65" i="3" s="1"/>
  <c r="K65" i="3" s="1"/>
  <c r="L65" i="3" s="1"/>
  <c r="I66" i="3"/>
  <c r="J66" i="3" s="1"/>
  <c r="K66" i="3" s="1"/>
  <c r="L66" i="3" s="1"/>
  <c r="I67" i="3"/>
  <c r="J67" i="3" s="1"/>
  <c r="K67" i="3" s="1"/>
  <c r="L67" i="3" s="1"/>
  <c r="I68" i="3"/>
  <c r="J68" i="3" s="1"/>
  <c r="K68" i="3" s="1"/>
  <c r="L68" i="3" s="1"/>
  <c r="I69" i="3"/>
  <c r="J69" i="3" s="1"/>
  <c r="K69" i="3" s="1"/>
  <c r="L69" i="3" s="1"/>
  <c r="I70" i="3"/>
  <c r="J70" i="3" s="1"/>
  <c r="K70" i="3" s="1"/>
  <c r="L70" i="3" s="1"/>
  <c r="I71" i="3"/>
  <c r="J71" i="3" s="1"/>
  <c r="K71" i="3" s="1"/>
  <c r="L71" i="3" s="1"/>
  <c r="I72" i="3"/>
  <c r="J72" i="3" s="1"/>
  <c r="K72" i="3" s="1"/>
  <c r="L72" i="3" s="1"/>
  <c r="I73" i="3"/>
  <c r="J73" i="3" s="1"/>
  <c r="K73" i="3" s="1"/>
  <c r="L73" i="3" s="1"/>
  <c r="I74" i="3"/>
  <c r="J74" i="3" s="1"/>
  <c r="K74" i="3" s="1"/>
  <c r="L74" i="3" s="1"/>
  <c r="I75" i="3"/>
  <c r="J75" i="3" s="1"/>
  <c r="K75" i="3" s="1"/>
  <c r="L75" i="3" s="1"/>
  <c r="I150" i="3"/>
  <c r="J150" i="3" s="1"/>
  <c r="K150" i="3" s="1"/>
  <c r="L150" i="3" s="1"/>
  <c r="E3" i="4" l="1"/>
  <c r="B5" i="4"/>
  <c r="E4" i="5" s="1"/>
  <c r="E4" i="4"/>
  <c r="B4" i="4"/>
  <c r="B8" i="4" l="1"/>
  <c r="A8" i="5" s="1"/>
  <c r="C4" i="5"/>
</calcChain>
</file>

<file path=xl/sharedStrings.xml><?xml version="1.0" encoding="utf-8"?>
<sst xmlns="http://schemas.openxmlformats.org/spreadsheetml/2006/main" count="980" uniqueCount="265">
  <si>
    <t>Invoice_ID</t>
  </si>
  <si>
    <t>Vendor</t>
  </si>
  <si>
    <t>Item_Description</t>
  </si>
  <si>
    <t>Quantity</t>
  </si>
  <si>
    <t>Unit_Price</t>
  </si>
  <si>
    <t>Tax_Rate</t>
  </si>
  <si>
    <t>Extracted_Total</t>
  </si>
  <si>
    <t>INV0001</t>
  </si>
  <si>
    <t>Citywide Products</t>
  </si>
  <si>
    <t>Files</t>
  </si>
  <si>
    <t>INV0002</t>
  </si>
  <si>
    <t>Brightline Distributors</t>
  </si>
  <si>
    <t>Whiteboard</t>
  </si>
  <si>
    <t>INV0003</t>
  </si>
  <si>
    <t>Apex Business Solutions</t>
  </si>
  <si>
    <t>INV0004</t>
  </si>
  <si>
    <t>Global Tech</t>
  </si>
  <si>
    <t>Staplers</t>
  </si>
  <si>
    <t>INV0005</t>
  </si>
  <si>
    <t>Headphones</t>
  </si>
  <si>
    <t>INV0006</t>
  </si>
  <si>
    <t>XYZ Supplies</t>
  </si>
  <si>
    <t>Desk</t>
  </si>
  <si>
    <t>INV0007</t>
  </si>
  <si>
    <t>Prime Office</t>
  </si>
  <si>
    <t>Printer Paper</t>
  </si>
  <si>
    <t>INV0008</t>
  </si>
  <si>
    <t>INV0009</t>
  </si>
  <si>
    <t>Mouse</t>
  </si>
  <si>
    <t>Northstar Supplies</t>
  </si>
  <si>
    <t>Desk Lamp</t>
  </si>
  <si>
    <t>INV0011</t>
  </si>
  <si>
    <t>INV0012</t>
  </si>
  <si>
    <t>Metro Wholesale</t>
  </si>
  <si>
    <t>INV0013</t>
  </si>
  <si>
    <t>INV0014</t>
  </si>
  <si>
    <t>Folders</t>
  </si>
  <si>
    <t>INV0015</t>
  </si>
  <si>
    <t>INV0016</t>
  </si>
  <si>
    <t>INV0017</t>
  </si>
  <si>
    <t>Evergreen Retail</t>
  </si>
  <si>
    <t>INV0018</t>
  </si>
  <si>
    <t>USB Drive</t>
  </si>
  <si>
    <t>INV0019</t>
  </si>
  <si>
    <t>INV0020</t>
  </si>
  <si>
    <t>Keyboards</t>
  </si>
  <si>
    <t>INV0021</t>
  </si>
  <si>
    <t>Monitor</t>
  </si>
  <si>
    <t>INV0022</t>
  </si>
  <si>
    <t>INV0023</t>
  </si>
  <si>
    <t>Paper Clips</t>
  </si>
  <si>
    <t>INV0024</t>
  </si>
  <si>
    <t>Printer Toner</t>
  </si>
  <si>
    <t>INV0025</t>
  </si>
  <si>
    <t>INV0026</t>
  </si>
  <si>
    <t>Office Chairs</t>
  </si>
  <si>
    <t>INV0027</t>
  </si>
  <si>
    <t>Notebooks</t>
  </si>
  <si>
    <t>INV0028</t>
  </si>
  <si>
    <t>Extension Board</t>
  </si>
  <si>
    <t>INV0029</t>
  </si>
  <si>
    <t>Filing Cabinet</t>
  </si>
  <si>
    <t>INV0030</t>
  </si>
  <si>
    <t>INV0032</t>
  </si>
  <si>
    <t>INV0033</t>
  </si>
  <si>
    <t>INV0034</t>
  </si>
  <si>
    <t>INV0035</t>
  </si>
  <si>
    <t>ABC Traders</t>
  </si>
  <si>
    <t>INV0036</t>
  </si>
  <si>
    <t>INV0037</t>
  </si>
  <si>
    <t>INV0038</t>
  </si>
  <si>
    <t>INV0039</t>
  </si>
  <si>
    <t>INV0040</t>
  </si>
  <si>
    <t>Calculator</t>
  </si>
  <si>
    <t>INV0041</t>
  </si>
  <si>
    <t>Pens</t>
  </si>
  <si>
    <t>INV0042</t>
  </si>
  <si>
    <t>INV0043</t>
  </si>
  <si>
    <t>INV0044</t>
  </si>
  <si>
    <t>INV0045</t>
  </si>
  <si>
    <t>INV0046</t>
  </si>
  <si>
    <t>INV0047</t>
  </si>
  <si>
    <t>INV0048</t>
  </si>
  <si>
    <t>INV0049</t>
  </si>
  <si>
    <t>INV0050</t>
  </si>
  <si>
    <t>INV0051</t>
  </si>
  <si>
    <t>INV0052</t>
  </si>
  <si>
    <t>INV0053</t>
  </si>
  <si>
    <t>INV0054</t>
  </si>
  <si>
    <t>INV0055</t>
  </si>
  <si>
    <t>INV0056</t>
  </si>
  <si>
    <t>INV0057</t>
  </si>
  <si>
    <t>INV0058</t>
  </si>
  <si>
    <t>INV0059</t>
  </si>
  <si>
    <t>INV0060</t>
  </si>
  <si>
    <t>INV0061</t>
  </si>
  <si>
    <t>INV0062</t>
  </si>
  <si>
    <t>INV0063</t>
  </si>
  <si>
    <t>INV0064</t>
  </si>
  <si>
    <t>INV0065</t>
  </si>
  <si>
    <t>INV0066</t>
  </si>
  <si>
    <t>INV0067</t>
  </si>
  <si>
    <t>INV0068</t>
  </si>
  <si>
    <t>INV0069</t>
  </si>
  <si>
    <t>INV0070</t>
  </si>
  <si>
    <t>INV0071</t>
  </si>
  <si>
    <t>INV0072</t>
  </si>
  <si>
    <t>INV0073</t>
  </si>
  <si>
    <t>INV0074</t>
  </si>
  <si>
    <t>INV0075</t>
  </si>
  <si>
    <t>INV0076</t>
  </si>
  <si>
    <t>INV0077</t>
  </si>
  <si>
    <t>INV0078</t>
  </si>
  <si>
    <t>INV0079</t>
  </si>
  <si>
    <t>INV0080</t>
  </si>
  <si>
    <t>INV0081</t>
  </si>
  <si>
    <t>INV0082</t>
  </si>
  <si>
    <t>INV0083</t>
  </si>
  <si>
    <t>INV0084</t>
  </si>
  <si>
    <t>INV0085</t>
  </si>
  <si>
    <t>INV0086</t>
  </si>
  <si>
    <t>INV0087</t>
  </si>
  <si>
    <t>INV0088</t>
  </si>
  <si>
    <t>INV0089</t>
  </si>
  <si>
    <t>INV0090</t>
  </si>
  <si>
    <t>INV0091</t>
  </si>
  <si>
    <t>INV0092</t>
  </si>
  <si>
    <t>INV0093</t>
  </si>
  <si>
    <t>INV0094</t>
  </si>
  <si>
    <t>INV0095</t>
  </si>
  <si>
    <t>INV0096</t>
  </si>
  <si>
    <t>INV0097</t>
  </si>
  <si>
    <t>INV0098</t>
  </si>
  <si>
    <t>INV0099</t>
  </si>
  <si>
    <t>INV0100</t>
  </si>
  <si>
    <t>INV0101</t>
  </si>
  <si>
    <t>INV0102</t>
  </si>
  <si>
    <t>INV0103</t>
  </si>
  <si>
    <t>INV0104</t>
  </si>
  <si>
    <t>INV0105</t>
  </si>
  <si>
    <t>INV0106</t>
  </si>
  <si>
    <t>INV0107</t>
  </si>
  <si>
    <t>INV0108</t>
  </si>
  <si>
    <t>INV0109</t>
  </si>
  <si>
    <t>INV0110</t>
  </si>
  <si>
    <t>INV0111</t>
  </si>
  <si>
    <t>INV0112</t>
  </si>
  <si>
    <t>INV0113</t>
  </si>
  <si>
    <t>INV0114</t>
  </si>
  <si>
    <t>INV0115</t>
  </si>
  <si>
    <t>INV0116</t>
  </si>
  <si>
    <t>INV0117</t>
  </si>
  <si>
    <t>INV0118</t>
  </si>
  <si>
    <t>INV0119</t>
  </si>
  <si>
    <t>INV0120</t>
  </si>
  <si>
    <t>INV0121</t>
  </si>
  <si>
    <t>INV0122</t>
  </si>
  <si>
    <t>INV0123</t>
  </si>
  <si>
    <t>INV0124</t>
  </si>
  <si>
    <t>INV0125</t>
  </si>
  <si>
    <t>INV0126</t>
  </si>
  <si>
    <t>INV0127</t>
  </si>
  <si>
    <t>INV0128</t>
  </si>
  <si>
    <t>INV0129</t>
  </si>
  <si>
    <t>INV0130</t>
  </si>
  <si>
    <t>INV0131</t>
  </si>
  <si>
    <t>INV0132</t>
  </si>
  <si>
    <t>INV0133</t>
  </si>
  <si>
    <t>INV0134</t>
  </si>
  <si>
    <t>INV0135</t>
  </si>
  <si>
    <t>INV0136</t>
  </si>
  <si>
    <t>INV0137</t>
  </si>
  <si>
    <t>INV0138</t>
  </si>
  <si>
    <t>INV0139</t>
  </si>
  <si>
    <t>INV0140</t>
  </si>
  <si>
    <t>INV0141</t>
  </si>
  <si>
    <t>INV0142</t>
  </si>
  <si>
    <t>INV0143</t>
  </si>
  <si>
    <t>INV0144</t>
  </si>
  <si>
    <t>INV0145</t>
  </si>
  <si>
    <t>INV0146</t>
  </si>
  <si>
    <t>INV0147</t>
  </si>
  <si>
    <t>INV0148</t>
  </si>
  <si>
    <t>INV0149</t>
  </si>
  <si>
    <t>INV0150</t>
  </si>
  <si>
    <t>Raw Invoice Dataset — 150 Rows</t>
  </si>
  <si>
    <t>Purpose</t>
  </si>
  <si>
    <t>Use this as the starting dataset for Project 1. Calculate all derived fields yourself in Excel.</t>
  </si>
  <si>
    <t>Raw fields only</t>
  </si>
  <si>
    <t>Invoice_ID, Vendor, Item_Description, Quantity, Unit_Price, Tax_Rate, Extracted_Total.</t>
  </si>
  <si>
    <t>No pre-calculations</t>
  </si>
  <si>
    <t>This workbook contains no Subtotal, Expected_Tax, Expected_Total, Difference, Verification_Status, or Data_Quality_Status formulas.</t>
  </si>
  <si>
    <t>Practice note</t>
  </si>
  <si>
    <t>Some records intentionally contain discrepancies or missing/invalid values. Identify these through your own formulas and checks.</t>
  </si>
  <si>
    <t>Data note</t>
  </si>
  <si>
    <t>All records are simulated for practice, not real invoices.</t>
  </si>
  <si>
    <t>Subtotal</t>
  </si>
  <si>
    <t>Expected_Tax</t>
  </si>
  <si>
    <t>Expected_total</t>
  </si>
  <si>
    <t>Difference</t>
  </si>
  <si>
    <t>Verification_status</t>
  </si>
  <si>
    <t>Data_quality_status</t>
  </si>
  <si>
    <t>INVOICE QUALITY SUMMARY</t>
  </si>
  <si>
    <t>Total Invoices</t>
  </si>
  <si>
    <t xml:space="preserve">Verified Invoices </t>
  </si>
  <si>
    <t>Invoices with Discrepancies</t>
  </si>
  <si>
    <t>Records requiring Review</t>
  </si>
  <si>
    <t>Complete Records</t>
  </si>
  <si>
    <t>Data completion rate</t>
  </si>
  <si>
    <t>Verification Rate</t>
  </si>
  <si>
    <t>Invoice Verification &amp; Quality Dashboard</t>
  </si>
  <si>
    <t>TOTAL INVOICES</t>
  </si>
  <si>
    <t>VERIFIED INVOICES</t>
  </si>
  <si>
    <t>DISCREPANCIES</t>
  </si>
  <si>
    <t>RECORDS TO REVIEW</t>
  </si>
  <si>
    <t>VERIFICATION RATE</t>
  </si>
  <si>
    <t>DATA COMPLETENESS RATE</t>
  </si>
  <si>
    <t>Invoice Status</t>
  </si>
  <si>
    <t>Count</t>
  </si>
  <si>
    <t>Verified</t>
  </si>
  <si>
    <t>Discrepancy</t>
  </si>
  <si>
    <t>Review Required</t>
  </si>
  <si>
    <t>Duplicate_check</t>
  </si>
  <si>
    <t>Duplicate Invoice Records</t>
  </si>
  <si>
    <t>Missing Invoice IDs</t>
  </si>
  <si>
    <t>Final QC status</t>
  </si>
  <si>
    <t>FINAL QC SUMMARY</t>
  </si>
  <si>
    <t>Passed QC</t>
  </si>
  <si>
    <t>Amount Mismatch</t>
  </si>
  <si>
    <t>Incomplete Review</t>
  </si>
  <si>
    <t>Duplicate-Investigate</t>
  </si>
  <si>
    <t>Missing Invoice ID</t>
  </si>
  <si>
    <t>Final QC Pass Rate</t>
  </si>
  <si>
    <t>Final QC Status</t>
  </si>
  <si>
    <t>Incomplete - Review</t>
  </si>
  <si>
    <t>Duplicate - Investigate</t>
  </si>
  <si>
    <t>Final QC PassRate</t>
  </si>
  <si>
    <t>PROJECT OVERVIEW</t>
  </si>
  <si>
    <t>Stage</t>
  </si>
  <si>
    <t>What you did</t>
  </si>
  <si>
    <t>Excel skills demonstrated</t>
  </si>
  <si>
    <t>1. Data preparation</t>
  </si>
  <si>
    <t>Organized 150 invoice records into an Excel Table</t>
  </si>
  <si>
    <t>Tables, structured data</t>
  </si>
  <si>
    <t>2. Calculations</t>
  </si>
  <si>
    <t>Calculated subtotal, expected tax and expected total</t>
  </si>
  <si>
    <t>Arithmetic formulas</t>
  </si>
  <si>
    <t>3. Reconciliation</t>
  </si>
  <si>
    <t>Compared extracted totals with expected totals</t>
  </si>
  <si>
    <t>Difference calculations</t>
  </si>
  <si>
    <t>4. Verification</t>
  </si>
  <si>
    <t>Classified invoices as verified or discrepant</t>
  </si>
  <si>
    <t>IF</t>
  </si>
  <si>
    <t>5. Data quality</t>
  </si>
  <si>
    <t>Flagged missing fields and invalid quantities or prices</t>
  </si>
  <si>
    <r>
      <t>IF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OR</t>
    </r>
  </si>
  <si>
    <t>6. Duplicate detection</t>
  </si>
  <si>
    <t>Flagged repeated invoice IDs</t>
  </si>
  <si>
    <t>COUNTIF</t>
  </si>
  <si>
    <t>7. Final classification</t>
  </si>
  <si>
    <t>Assigned a final QC status to each record</t>
  </si>
  <si>
    <r>
      <t xml:space="preserve">Nested </t>
    </r>
    <r>
      <rPr>
        <sz val="10"/>
        <color theme="1"/>
        <rFont val="Arial Unicode MS"/>
      </rPr>
      <t>IF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OR</t>
    </r>
  </si>
  <si>
    <t>8. Reporting</t>
  </si>
  <si>
    <t>Summarized the results and built charts</t>
  </si>
  <si>
    <r>
      <t>COUNTIF</t>
    </r>
    <r>
      <rPr>
        <sz val="11"/>
        <color theme="1"/>
        <rFont val="Calibri"/>
        <family val="2"/>
        <scheme val="minor"/>
      </rPr>
      <t>, cell references, charts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</si>
</sst>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.00;[Red]\-\₹#,##0.00"/>
    <numFmt numFmtId="165" formatCode="_ [$₹-4009]\ * #,##0.00_ ;_ [$₹-4009]\ * \-#,##0.00_ ;_ [$₹-4009]\ * &quot;-&quot;??_ ;_ @_ "/>
    <numFmt numFmtId="166" formatCode="0.0%"/>
  </numFmts>
  <fonts count="20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rgb="FFFFFFFF"/>
      <name val="Calibri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8"/>
      <color theme="1"/>
      <name val="Arial Unicode MS"/>
    </font>
    <font>
      <b/>
      <sz val="11"/>
      <color theme="1" tint="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28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1">
    <xf numFmtId="0" fontId="0" fillId="0" borderId="0" xfId="0"/>
    <xf numFmtId="0" fontId="1" fillId="0" borderId="1" xfId="0" applyFont="1" applyBorder="1" applyAlignment="1">
      <alignment horizontal="center" wrapText="1"/>
    </xf>
    <xf numFmtId="164" fontId="0" fillId="0" borderId="0" xfId="0" applyNumberFormat="1"/>
    <xf numFmtId="9" fontId="0" fillId="0" borderId="0" xfId="0" applyNumberFormat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/>
    <xf numFmtId="165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9" fontId="0" fillId="0" borderId="1" xfId="0" applyNumberFormat="1" applyBorder="1"/>
    <xf numFmtId="165" fontId="4" fillId="0" borderId="1" xfId="0" applyNumberFormat="1" applyFont="1" applyBorder="1"/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166" fontId="11" fillId="0" borderId="4" xfId="0" applyNumberFormat="1" applyFont="1" applyBorder="1"/>
    <xf numFmtId="0" fontId="3" fillId="0" borderId="1" xfId="0" applyFont="1" applyBorder="1"/>
    <xf numFmtId="0" fontId="4" fillId="0" borderId="1" xfId="0" applyFont="1" applyBorder="1"/>
    <xf numFmtId="0" fontId="13" fillId="8" borderId="1" xfId="0" applyFont="1" applyFill="1" applyBorder="1"/>
    <xf numFmtId="0" fontId="14" fillId="8" borderId="1" xfId="0" applyFont="1" applyFill="1" applyBorder="1"/>
    <xf numFmtId="0" fontId="4" fillId="0" borderId="0" xfId="0" applyFont="1"/>
    <xf numFmtId="0" fontId="0" fillId="0" borderId="6" xfId="0" applyBorder="1"/>
    <xf numFmtId="0" fontId="14" fillId="8" borderId="6" xfId="0" applyFont="1" applyFill="1" applyBorder="1"/>
    <xf numFmtId="0" fontId="16" fillId="8" borderId="5" xfId="0" applyFont="1" applyFill="1" applyBorder="1" applyAlignment="1">
      <alignment horizontal="center" wrapText="1"/>
    </xf>
    <xf numFmtId="0" fontId="16" fillId="8" borderId="7" xfId="0" applyFont="1" applyFill="1" applyBorder="1" applyAlignment="1">
      <alignment horizontal="center" wrapText="1"/>
    </xf>
    <xf numFmtId="165" fontId="16" fillId="8" borderId="7" xfId="0" applyNumberFormat="1" applyFont="1" applyFill="1" applyBorder="1" applyAlignment="1">
      <alignment horizontal="center" wrapText="1"/>
    </xf>
    <xf numFmtId="165" fontId="13" fillId="8" borderId="7" xfId="0" applyNumberFormat="1" applyFont="1" applyFill="1" applyBorder="1"/>
    <xf numFmtId="0" fontId="13" fillId="8" borderId="7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8" xfId="0" applyBorder="1"/>
    <xf numFmtId="164" fontId="0" fillId="0" borderId="8" xfId="0" applyNumberFormat="1" applyBorder="1"/>
    <xf numFmtId="9" fontId="0" fillId="0" borderId="8" xfId="0" applyNumberFormat="1" applyBorder="1"/>
    <xf numFmtId="165" fontId="4" fillId="0" borderId="8" xfId="0" applyNumberFormat="1" applyFont="1" applyBorder="1"/>
    <xf numFmtId="165" fontId="0" fillId="0" borderId="8" xfId="0" applyNumberFormat="1" applyBorder="1"/>
    <xf numFmtId="0" fontId="0" fillId="0" borderId="9" xfId="0" applyBorder="1"/>
    <xf numFmtId="0" fontId="13" fillId="8" borderId="4" xfId="0" applyFont="1" applyFill="1" applyBorder="1"/>
    <xf numFmtId="0" fontId="4" fillId="0" borderId="1" xfId="0" applyFont="1" applyBorder="1" applyAlignment="1">
      <alignment vertical="center"/>
    </xf>
    <xf numFmtId="9" fontId="0" fillId="0" borderId="1" xfId="1" applyFont="1" applyBorder="1"/>
    <xf numFmtId="0" fontId="15" fillId="8" borderId="0" xfId="0" applyFont="1" applyFill="1" applyAlignment="1">
      <alignment horizontal="center"/>
    </xf>
    <xf numFmtId="0" fontId="13" fillId="8" borderId="0" xfId="0" applyFont="1" applyFill="1"/>
    <xf numFmtId="0" fontId="3" fillId="9" borderId="1" xfId="0" applyFont="1" applyFill="1" applyBorder="1"/>
    <xf numFmtId="9" fontId="0" fillId="10" borderId="1" xfId="1" applyFont="1" applyFill="1" applyBorder="1"/>
    <xf numFmtId="9" fontId="4" fillId="0" borderId="0" xfId="0" applyNumberFormat="1" applyFont="1"/>
    <xf numFmtId="0" fontId="12" fillId="7" borderId="8" xfId="0" applyFont="1" applyFill="1" applyBorder="1"/>
    <xf numFmtId="9" fontId="11" fillId="0" borderId="7" xfId="0" applyNumberFormat="1" applyFont="1" applyBorder="1"/>
    <xf numFmtId="0" fontId="17" fillId="8" borderId="0" xfId="0" applyFont="1" applyFill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8" fillId="8" borderId="0" xfId="0" applyFont="1" applyFill="1" applyAlignment="1">
      <alignment horizontal="center"/>
    </xf>
    <xf numFmtId="0" fontId="12" fillId="7" borderId="2" xfId="0" applyFont="1" applyFill="1" applyBorder="1" applyAlignment="1">
      <alignment horizontal="center"/>
    </xf>
    <xf numFmtId="0" fontId="12" fillId="7" borderId="3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2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_ [$₹-4009]\ * #,##0.00_ ;_ [$₹-4009]\ * \-#,##0.00_ ;_ [$₹-4009]\ * &quot;-&quot;??_ ;_ @_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_ [$₹-4009]\ * #,##0.00_ ;_ [$₹-4009]\ * \-#,##0.00_ ;_ [$₹-4009]\ * &quot;-&quot;??_ ;_ @_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_ [$₹-4009]\ * #,##0.00_ ;_ [$₹-4009]\ * \-#,##0.00_ ;_ [$₹-4009]\ * &quot;-&quot;??_ ;_ @_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5" formatCode="_ [$₹-4009]\ * #,##0.00_ ;_ [$₹-4009]\ * \-#,##0.00_ ;_ [$₹-4009]\ * &quot;-&quot;??_ ;_ @_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\₹#,##0.00;[Red]\-\₹#,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3" formatCode="0%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\₹#,##0.00;[Red]\-\₹#,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Invoice</a:t>
            </a:r>
            <a:r>
              <a:rPr lang="en-IN" baseline="0"/>
              <a:t> Quality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QC_summary!$E$2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QC_summary!$D$3:$D$5</c:f>
              <c:strCache>
                <c:ptCount val="3"/>
                <c:pt idx="0">
                  <c:v>Verified</c:v>
                </c:pt>
                <c:pt idx="1">
                  <c:v>Discrepancy</c:v>
                </c:pt>
                <c:pt idx="2">
                  <c:v>Review Required</c:v>
                </c:pt>
              </c:strCache>
            </c:strRef>
          </c:cat>
          <c:val>
            <c:numRef>
              <c:f>QC_summary!$E$3:$E$5</c:f>
              <c:numCache>
                <c:formatCode>General</c:formatCode>
                <c:ptCount val="3"/>
                <c:pt idx="0">
                  <c:v>132</c:v>
                </c:pt>
                <c:pt idx="1">
                  <c:v>18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4C-42B6-B915-FDE5E108282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38476495"/>
        <c:axId val="648958639"/>
      </c:barChart>
      <c:catAx>
        <c:axId val="638476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958639"/>
        <c:crosses val="autoZero"/>
        <c:auto val="1"/>
        <c:lblAlgn val="ctr"/>
        <c:lblOffset val="100"/>
        <c:noMultiLvlLbl val="0"/>
      </c:catAx>
      <c:valAx>
        <c:axId val="64895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476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Final</a:t>
            </a:r>
            <a:r>
              <a:rPr lang="en-IN" baseline="0"/>
              <a:t> Invoice Quality Assessment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QC_summary!$H$2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QC_summary!$G$3:$G$7</c:f>
              <c:strCache>
                <c:ptCount val="5"/>
                <c:pt idx="0">
                  <c:v>Passed QC</c:v>
                </c:pt>
                <c:pt idx="1">
                  <c:v>Amount Mismatch</c:v>
                </c:pt>
                <c:pt idx="2">
                  <c:v>Incomplete - Review</c:v>
                </c:pt>
                <c:pt idx="3">
                  <c:v>Duplicate - Investigate</c:v>
                </c:pt>
                <c:pt idx="4">
                  <c:v>Missing Invoice ID</c:v>
                </c:pt>
              </c:strCache>
            </c:strRef>
          </c:cat>
          <c:val>
            <c:numRef>
              <c:f>QC_summary!$H$3:$H$7</c:f>
              <c:numCache>
                <c:formatCode>General</c:formatCode>
                <c:ptCount val="5"/>
                <c:pt idx="0">
                  <c:v>118</c:v>
                </c:pt>
                <c:pt idx="1">
                  <c:v>14</c:v>
                </c:pt>
                <c:pt idx="2">
                  <c:v>10</c:v>
                </c:pt>
                <c:pt idx="3">
                  <c:v>6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1C-40BF-9A8F-AE08E0308D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80901952"/>
        <c:axId val="1751135600"/>
      </c:barChart>
      <c:catAx>
        <c:axId val="2080901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135600"/>
        <c:crosses val="autoZero"/>
        <c:auto val="1"/>
        <c:lblAlgn val="ctr"/>
        <c:lblOffset val="100"/>
        <c:noMultiLvlLbl val="0"/>
      </c:catAx>
      <c:valAx>
        <c:axId val="1751135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901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6350</xdr:rowOff>
    </xdr:from>
    <xdr:to>
      <xdr:col>7</xdr:col>
      <xdr:colOff>603250</xdr:colOff>
      <xdr:row>23</xdr:row>
      <xdr:rowOff>154878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2651BD-008B-4CEC-BDDE-26502517A2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1008318</xdr:colOff>
      <xdr:row>8</xdr:row>
      <xdr:rowOff>179415</xdr:rowOff>
    </xdr:from>
    <xdr:to>
      <xdr:col>7</xdr:col>
      <xdr:colOff>8140347</xdr:colOff>
      <xdr:row>24</xdr:row>
      <xdr:rowOff>30976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38B49D-4552-4850-9AF2-BD633A2271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3F599D-061B-478D-92CD-6E9D615BB8FC}" name="Table3" displayName="Table3" ref="A1:O151" totalsRowShown="0" headerRowBorderDxfId="25" tableBorderDxfId="24" totalsRowBorderDxfId="23">
  <autoFilter ref="A1:O151" xr:uid="{DB3F599D-061B-478D-92CD-6E9D615BB8FC}"/>
  <tableColumns count="15">
    <tableColumn id="1" xr3:uid="{EFE8FF92-7E6A-406F-B0B7-5C41AA004CE7}" name="Invoice_ID" dataDxfId="22"/>
    <tableColumn id="2" xr3:uid="{FDCBA332-5E01-4B96-A1A1-AED31CC61018}" name="Vendor" dataDxfId="21"/>
    <tableColumn id="3" xr3:uid="{4ED894C0-5D34-478E-8395-A148021D62D1}" name="Item_Description" dataDxfId="20"/>
    <tableColumn id="4" xr3:uid="{C0C6FA44-80AB-4366-BB93-FC8E915B1614}" name="Quantity" dataDxfId="19"/>
    <tableColumn id="5" xr3:uid="{5F9D9EDD-68DC-4482-9EBF-51D7EE8E6636}" name="Unit_Price" dataDxfId="18"/>
    <tableColumn id="6" xr3:uid="{CE19C7B8-37EF-4759-940F-BB1AC0E80F85}" name="Tax_Rate" dataDxfId="17"/>
    <tableColumn id="7" xr3:uid="{DA5E29BE-5E09-4A38-B2FA-8719B228B526}" name="Extracted_Total" dataDxfId="16"/>
    <tableColumn id="8" xr3:uid="{96CE8A92-73EE-4AC7-BECD-7CB48D7C6982}" name="Subtotal" dataDxfId="15">
      <calculatedColumnFormula>D2*E2</calculatedColumnFormula>
    </tableColumn>
    <tableColumn id="9" xr3:uid="{D57B9295-A0ED-467C-97B3-B57A69E1418A}" name="Expected_Tax" dataDxfId="14">
      <calculatedColumnFormula>H2*F2</calculatedColumnFormula>
    </tableColumn>
    <tableColumn id="10" xr3:uid="{21CF06ED-DFE4-4C38-B415-A0168C35B211}" name="Expected_total" dataDxfId="13">
      <calculatedColumnFormula>H2+I2</calculatedColumnFormula>
    </tableColumn>
    <tableColumn id="11" xr3:uid="{95CDE783-BE4A-4790-A908-271FA52A1042}" name="Difference" dataDxfId="12">
      <calculatedColumnFormula>G2-J2</calculatedColumnFormula>
    </tableColumn>
    <tableColumn id="12" xr3:uid="{BECBBD06-5BED-4BF4-8584-F86E9F03345D}" name="Verification_status" dataDxfId="11">
      <calculatedColumnFormula>IF(K2=0,"Verified","Discrepancy")</calculatedColumnFormula>
    </tableColumn>
    <tableColumn id="13" xr3:uid="{60580FE7-F097-4F1D-8B1C-E0194E3424AA}" name="Data_quality_status" dataDxfId="10">
      <calculatedColumnFormula>IF(OR(A2="",B2="",C2="",D2&lt;=0,E2&lt;=0),"Review Required","Complete")</calculatedColumnFormula>
    </tableColumn>
    <tableColumn id="14" xr3:uid="{F05C13A7-B5F4-4781-B5CC-5B67A01CA827}" name="Duplicate_check" dataDxfId="9">
      <calculatedColumnFormula>IF(A2="","Missing Invoice ID",IF(COUNTIF($A$2:$A$151,A2)&gt;1,"Duplicate","Unique"))</calculatedColumnFormula>
    </tableColumn>
    <tableColumn id="15" xr3:uid="{6F0ED24C-4FB9-447C-84F2-3B1210C05C1A}" name="Final QC status" dataDxfId="8">
      <calculatedColumnFormula>IF(OR(A2="",N2="Missing Invoice ID"),"Missing Invoice ID",IF(N2="Duplicate","Duplicate - Investigate",IF(M2="Review Required","Incomplete - Review",IF(L2="Discrepancy","Amount Mismatch","Passed QC"))))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workbookViewId="0">
      <pane ySplit="1" topLeftCell="A17" activePane="bottomLeft" state="frozen"/>
      <selection pane="bottomLeft" activeCell="C27" sqref="C27"/>
    </sheetView>
  </sheetViews>
  <sheetFormatPr defaultRowHeight="14.5"/>
  <cols>
    <col min="1" max="1" width="14" customWidth="1"/>
    <col min="2" max="2" width="25" customWidth="1"/>
    <col min="3" max="3" width="24" customWidth="1"/>
    <col min="4" max="4" width="12" customWidth="1"/>
    <col min="5" max="5" width="14" customWidth="1"/>
    <col min="6" max="6" width="12" customWidth="1"/>
    <col min="7" max="7" width="18" customWidth="1"/>
  </cols>
  <sheetData>
    <row r="1" spans="1:7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36</v>
      </c>
      <c r="E2" s="2">
        <v>25</v>
      </c>
      <c r="F2" s="3">
        <v>0.12</v>
      </c>
      <c r="G2" s="2">
        <v>1008</v>
      </c>
    </row>
    <row r="3" spans="1:7">
      <c r="A3" t="s">
        <v>10</v>
      </c>
      <c r="B3" t="s">
        <v>11</v>
      </c>
      <c r="C3" t="s">
        <v>12</v>
      </c>
      <c r="D3">
        <v>5</v>
      </c>
      <c r="E3" s="2">
        <v>1800</v>
      </c>
      <c r="F3" s="3">
        <v>0.18</v>
      </c>
      <c r="G3" s="2">
        <v>10620</v>
      </c>
    </row>
    <row r="4" spans="1:7">
      <c r="A4" t="s">
        <v>13</v>
      </c>
      <c r="B4" t="s">
        <v>14</v>
      </c>
      <c r="C4" t="s">
        <v>9</v>
      </c>
      <c r="D4">
        <v>40</v>
      </c>
      <c r="E4" s="2">
        <v>25</v>
      </c>
      <c r="F4" s="3">
        <v>0.12</v>
      </c>
      <c r="G4" s="2">
        <v>1120</v>
      </c>
    </row>
    <row r="5" spans="1:7">
      <c r="A5" t="s">
        <v>15</v>
      </c>
      <c r="B5" t="s">
        <v>16</v>
      </c>
      <c r="C5" t="s">
        <v>17</v>
      </c>
      <c r="D5">
        <v>33</v>
      </c>
      <c r="E5" s="2">
        <v>150</v>
      </c>
      <c r="F5" s="3">
        <v>0.12</v>
      </c>
      <c r="G5" s="2">
        <v>5544</v>
      </c>
    </row>
    <row r="6" spans="1:7">
      <c r="A6" t="s">
        <v>18</v>
      </c>
      <c r="B6" t="s">
        <v>16</v>
      </c>
      <c r="C6" t="s">
        <v>19</v>
      </c>
      <c r="D6">
        <v>30</v>
      </c>
      <c r="E6" s="2">
        <v>1200</v>
      </c>
      <c r="F6" s="3">
        <v>0.18</v>
      </c>
      <c r="G6" s="2">
        <v>42480</v>
      </c>
    </row>
    <row r="7" spans="1:7">
      <c r="A7" t="s">
        <v>20</v>
      </c>
      <c r="B7" t="s">
        <v>21</v>
      </c>
      <c r="C7" t="s">
        <v>22</v>
      </c>
      <c r="D7">
        <v>14</v>
      </c>
      <c r="E7" s="2">
        <v>5000</v>
      </c>
      <c r="F7" s="3">
        <v>0.18</v>
      </c>
      <c r="G7" s="2">
        <v>82600</v>
      </c>
    </row>
    <row r="8" spans="1:7">
      <c r="A8" t="s">
        <v>23</v>
      </c>
      <c r="B8" t="s">
        <v>24</v>
      </c>
      <c r="C8" t="s">
        <v>25</v>
      </c>
      <c r="D8">
        <v>30</v>
      </c>
      <c r="E8" s="2">
        <v>300</v>
      </c>
      <c r="F8" s="3">
        <v>0.18</v>
      </c>
      <c r="G8" s="2">
        <v>11120</v>
      </c>
    </row>
    <row r="9" spans="1:7">
      <c r="A9" t="s">
        <v>26</v>
      </c>
      <c r="B9" t="s">
        <v>11</v>
      </c>
      <c r="C9" t="s">
        <v>9</v>
      </c>
      <c r="D9">
        <v>32</v>
      </c>
      <c r="E9" s="2">
        <v>25</v>
      </c>
      <c r="F9" s="3">
        <v>0.12</v>
      </c>
      <c r="G9" s="2">
        <v>896</v>
      </c>
    </row>
    <row r="10" spans="1:7">
      <c r="A10" t="s">
        <v>27</v>
      </c>
      <c r="B10" t="s">
        <v>11</v>
      </c>
      <c r="C10" t="s">
        <v>28</v>
      </c>
      <c r="D10">
        <v>42</v>
      </c>
      <c r="E10" s="2">
        <v>500</v>
      </c>
      <c r="F10" s="3">
        <v>0.18</v>
      </c>
      <c r="G10" s="2">
        <v>24780</v>
      </c>
    </row>
    <row r="11" spans="1:7">
      <c r="B11" t="s">
        <v>29</v>
      </c>
      <c r="C11" t="s">
        <v>30</v>
      </c>
      <c r="D11">
        <v>15</v>
      </c>
      <c r="E11" s="2">
        <v>900</v>
      </c>
      <c r="F11" s="3">
        <v>0.18</v>
      </c>
      <c r="G11" s="2">
        <v>15930</v>
      </c>
    </row>
    <row r="12" spans="1:7">
      <c r="A12" t="s">
        <v>31</v>
      </c>
      <c r="B12" t="s">
        <v>21</v>
      </c>
      <c r="C12" t="s">
        <v>30</v>
      </c>
      <c r="D12">
        <v>31</v>
      </c>
      <c r="E12" s="2">
        <v>900</v>
      </c>
      <c r="F12" s="3">
        <v>0.18</v>
      </c>
      <c r="G12" s="2">
        <v>32922</v>
      </c>
    </row>
    <row r="13" spans="1:7">
      <c r="A13" t="s">
        <v>32</v>
      </c>
      <c r="B13" t="s">
        <v>33</v>
      </c>
      <c r="C13" t="s">
        <v>9</v>
      </c>
      <c r="D13">
        <v>9</v>
      </c>
      <c r="E13" s="2">
        <v>25</v>
      </c>
      <c r="F13" s="3">
        <v>0.12</v>
      </c>
      <c r="G13" s="2">
        <v>252</v>
      </c>
    </row>
    <row r="14" spans="1:7">
      <c r="A14" t="s">
        <v>34</v>
      </c>
      <c r="C14" t="s">
        <v>19</v>
      </c>
      <c r="D14">
        <v>44</v>
      </c>
      <c r="E14" s="2">
        <v>1200</v>
      </c>
      <c r="F14" s="3">
        <v>0.18</v>
      </c>
      <c r="G14" s="2">
        <v>62304</v>
      </c>
    </row>
    <row r="15" spans="1:7">
      <c r="A15" t="s">
        <v>35</v>
      </c>
      <c r="B15" t="s">
        <v>33</v>
      </c>
      <c r="C15" t="s">
        <v>36</v>
      </c>
      <c r="D15">
        <v>26</v>
      </c>
      <c r="E15" s="2">
        <v>35</v>
      </c>
      <c r="F15" s="3">
        <v>0.12</v>
      </c>
      <c r="G15" s="2">
        <v>1019.2</v>
      </c>
    </row>
    <row r="16" spans="1:7">
      <c r="A16" t="s">
        <v>37</v>
      </c>
      <c r="B16" t="s">
        <v>16</v>
      </c>
      <c r="C16" t="s">
        <v>30</v>
      </c>
      <c r="D16">
        <v>6</v>
      </c>
      <c r="E16" s="2">
        <v>900</v>
      </c>
      <c r="F16" s="3">
        <v>0.18</v>
      </c>
      <c r="G16" s="2">
        <v>6372</v>
      </c>
    </row>
    <row r="17" spans="1:7">
      <c r="A17" t="s">
        <v>38</v>
      </c>
      <c r="B17" t="s">
        <v>29</v>
      </c>
      <c r="C17" t="s">
        <v>30</v>
      </c>
      <c r="D17">
        <v>2</v>
      </c>
      <c r="E17" s="2">
        <v>900</v>
      </c>
      <c r="F17" s="3">
        <v>0.18</v>
      </c>
      <c r="G17" s="2">
        <v>2124</v>
      </c>
    </row>
    <row r="18" spans="1:7">
      <c r="A18" t="s">
        <v>39</v>
      </c>
      <c r="B18" t="s">
        <v>40</v>
      </c>
      <c r="C18" t="s">
        <v>9</v>
      </c>
      <c r="D18">
        <v>36</v>
      </c>
      <c r="E18" s="2">
        <v>25</v>
      </c>
      <c r="F18" s="3">
        <v>0.12</v>
      </c>
      <c r="G18" s="2">
        <v>1008</v>
      </c>
    </row>
    <row r="19" spans="1:7">
      <c r="A19" t="s">
        <v>41</v>
      </c>
      <c r="B19" t="s">
        <v>21</v>
      </c>
      <c r="C19" t="s">
        <v>42</v>
      </c>
      <c r="D19">
        <v>3</v>
      </c>
      <c r="E19" s="2">
        <v>450</v>
      </c>
      <c r="F19" s="3">
        <v>0.18</v>
      </c>
      <c r="G19" s="2">
        <v>1593</v>
      </c>
    </row>
    <row r="20" spans="1:7">
      <c r="A20" t="s">
        <v>43</v>
      </c>
      <c r="B20" t="s">
        <v>11</v>
      </c>
      <c r="C20" t="s">
        <v>42</v>
      </c>
      <c r="D20">
        <v>2</v>
      </c>
      <c r="E20" s="2">
        <v>450</v>
      </c>
      <c r="F20" s="3">
        <v>0.18</v>
      </c>
      <c r="G20" s="2">
        <v>1312</v>
      </c>
    </row>
    <row r="21" spans="1:7">
      <c r="A21" t="s">
        <v>44</v>
      </c>
      <c r="B21" t="s">
        <v>8</v>
      </c>
      <c r="C21" t="s">
        <v>45</v>
      </c>
      <c r="D21">
        <v>4</v>
      </c>
      <c r="E21" s="2">
        <v>800</v>
      </c>
      <c r="F21" s="3">
        <v>0.18</v>
      </c>
      <c r="G21" s="2">
        <v>3776</v>
      </c>
    </row>
    <row r="22" spans="1:7">
      <c r="A22" t="s">
        <v>46</v>
      </c>
      <c r="B22" t="s">
        <v>29</v>
      </c>
      <c r="C22" t="s">
        <v>47</v>
      </c>
      <c r="D22">
        <v>19</v>
      </c>
      <c r="E22" s="2">
        <v>6500</v>
      </c>
      <c r="F22" s="3">
        <v>0.18</v>
      </c>
      <c r="G22" s="2">
        <v>145730</v>
      </c>
    </row>
    <row r="23" spans="1:7">
      <c r="A23" t="s">
        <v>48</v>
      </c>
      <c r="B23" t="s">
        <v>21</v>
      </c>
      <c r="C23" t="s">
        <v>45</v>
      </c>
      <c r="D23">
        <v>27</v>
      </c>
      <c r="E23" s="2">
        <v>800</v>
      </c>
      <c r="F23" s="3">
        <v>0.18</v>
      </c>
      <c r="G23" s="2">
        <v>25488</v>
      </c>
    </row>
    <row r="24" spans="1:7">
      <c r="A24" t="s">
        <v>49</v>
      </c>
      <c r="B24" t="s">
        <v>11</v>
      </c>
      <c r="C24" t="s">
        <v>50</v>
      </c>
      <c r="D24">
        <v>32</v>
      </c>
      <c r="E24" s="2">
        <v>60</v>
      </c>
      <c r="F24" s="3">
        <v>0.12</v>
      </c>
      <c r="G24" s="2">
        <v>2150.4</v>
      </c>
    </row>
    <row r="25" spans="1:7">
      <c r="A25" t="s">
        <v>51</v>
      </c>
      <c r="B25" t="s">
        <v>24</v>
      </c>
      <c r="C25" t="s">
        <v>52</v>
      </c>
      <c r="D25">
        <v>0</v>
      </c>
      <c r="E25" s="2">
        <v>2200</v>
      </c>
      <c r="F25" s="3">
        <v>0.18</v>
      </c>
      <c r="G25" s="2">
        <v>88264</v>
      </c>
    </row>
    <row r="26" spans="1:7">
      <c r="A26" t="s">
        <v>53</v>
      </c>
      <c r="B26" t="s">
        <v>33</v>
      </c>
      <c r="C26" t="s">
        <v>47</v>
      </c>
      <c r="D26">
        <v>46</v>
      </c>
      <c r="E26" s="2">
        <v>6500</v>
      </c>
      <c r="F26" s="3">
        <v>0.18</v>
      </c>
      <c r="G26" s="2">
        <v>352820</v>
      </c>
    </row>
    <row r="27" spans="1:7">
      <c r="A27" t="s">
        <v>54</v>
      </c>
      <c r="B27" t="s">
        <v>14</v>
      </c>
      <c r="C27" t="s">
        <v>55</v>
      </c>
      <c r="D27">
        <v>7</v>
      </c>
      <c r="E27" s="2">
        <v>2500</v>
      </c>
      <c r="F27" s="3">
        <v>0.18</v>
      </c>
      <c r="G27" s="2">
        <v>20650</v>
      </c>
    </row>
    <row r="28" spans="1:7">
      <c r="A28" t="s">
        <v>56</v>
      </c>
      <c r="B28" t="s">
        <v>21</v>
      </c>
      <c r="C28" t="s">
        <v>57</v>
      </c>
      <c r="D28">
        <v>38</v>
      </c>
      <c r="E28" s="2">
        <v>40</v>
      </c>
      <c r="F28" s="3">
        <v>0.12</v>
      </c>
      <c r="G28" s="2">
        <v>1702.4</v>
      </c>
    </row>
    <row r="29" spans="1:7">
      <c r="A29" t="s">
        <v>58</v>
      </c>
      <c r="B29" t="s">
        <v>11</v>
      </c>
      <c r="C29" t="s">
        <v>59</v>
      </c>
      <c r="D29">
        <v>46</v>
      </c>
      <c r="E29" s="2">
        <v>550</v>
      </c>
      <c r="F29" s="3">
        <v>0.18</v>
      </c>
      <c r="G29" s="2">
        <v>29779</v>
      </c>
    </row>
    <row r="30" spans="1:7">
      <c r="A30" t="s">
        <v>60</v>
      </c>
      <c r="B30" t="s">
        <v>21</v>
      </c>
      <c r="C30" t="s">
        <v>61</v>
      </c>
      <c r="D30">
        <v>40</v>
      </c>
      <c r="E30" s="2">
        <v>7200</v>
      </c>
      <c r="F30" s="3">
        <v>0.18</v>
      </c>
      <c r="G30" s="2">
        <v>339840</v>
      </c>
    </row>
    <row r="31" spans="1:7">
      <c r="A31" t="s">
        <v>62</v>
      </c>
      <c r="B31" t="s">
        <v>40</v>
      </c>
      <c r="C31" t="s">
        <v>45</v>
      </c>
      <c r="D31">
        <v>45</v>
      </c>
      <c r="E31" s="2">
        <v>800</v>
      </c>
      <c r="F31" s="3">
        <v>0.18</v>
      </c>
      <c r="G31" s="2">
        <v>42480</v>
      </c>
    </row>
    <row r="32" spans="1:7">
      <c r="B32" t="s">
        <v>24</v>
      </c>
      <c r="D32">
        <v>49</v>
      </c>
      <c r="E32" s="2">
        <v>25</v>
      </c>
      <c r="F32" s="3">
        <v>0.12</v>
      </c>
      <c r="G32" s="2">
        <v>1372</v>
      </c>
    </row>
    <row r="33" spans="1:7">
      <c r="A33" t="s">
        <v>63</v>
      </c>
      <c r="B33" t="s">
        <v>14</v>
      </c>
      <c r="C33" t="s">
        <v>12</v>
      </c>
      <c r="D33">
        <v>10</v>
      </c>
      <c r="E33" s="2">
        <v>1800</v>
      </c>
      <c r="F33" s="3">
        <v>0.18</v>
      </c>
      <c r="G33" s="2">
        <v>21240</v>
      </c>
    </row>
    <row r="34" spans="1:7">
      <c r="A34" t="s">
        <v>64</v>
      </c>
      <c r="B34" t="s">
        <v>21</v>
      </c>
      <c r="C34" t="s">
        <v>45</v>
      </c>
      <c r="D34">
        <v>21</v>
      </c>
      <c r="E34" s="2">
        <v>800</v>
      </c>
      <c r="F34" s="3">
        <v>0.18</v>
      </c>
      <c r="G34" s="2">
        <v>19824</v>
      </c>
    </row>
    <row r="35" spans="1:7">
      <c r="A35" t="s">
        <v>65</v>
      </c>
      <c r="B35" t="s">
        <v>11</v>
      </c>
      <c r="C35" t="s">
        <v>36</v>
      </c>
      <c r="D35">
        <v>6</v>
      </c>
      <c r="E35" s="2">
        <v>35</v>
      </c>
      <c r="F35" s="3">
        <v>0.12</v>
      </c>
      <c r="G35" s="2">
        <v>235.2</v>
      </c>
    </row>
    <row r="36" spans="1:7">
      <c r="A36" t="s">
        <v>66</v>
      </c>
      <c r="B36" t="s">
        <v>67</v>
      </c>
      <c r="C36" t="s">
        <v>59</v>
      </c>
      <c r="D36">
        <v>37</v>
      </c>
      <c r="E36" s="2">
        <v>550</v>
      </c>
      <c r="F36" s="3">
        <v>0.18</v>
      </c>
      <c r="G36" s="2">
        <v>24013</v>
      </c>
    </row>
    <row r="37" spans="1:7">
      <c r="A37" t="s">
        <v>68</v>
      </c>
      <c r="B37" t="s">
        <v>11</v>
      </c>
      <c r="C37" t="s">
        <v>12</v>
      </c>
      <c r="D37">
        <v>5</v>
      </c>
      <c r="E37" s="2">
        <v>1800</v>
      </c>
      <c r="F37" s="3">
        <v>0.18</v>
      </c>
      <c r="G37" s="2">
        <v>10720</v>
      </c>
    </row>
    <row r="38" spans="1:7">
      <c r="A38" t="s">
        <v>69</v>
      </c>
      <c r="B38" t="s">
        <v>33</v>
      </c>
      <c r="C38" t="s">
        <v>19</v>
      </c>
      <c r="D38">
        <v>7</v>
      </c>
      <c r="E38" s="2">
        <v>1200</v>
      </c>
      <c r="F38" s="3">
        <v>0.18</v>
      </c>
      <c r="G38" s="2">
        <v>9912</v>
      </c>
    </row>
    <row r="39" spans="1:7">
      <c r="A39" t="s">
        <v>70</v>
      </c>
      <c r="B39" t="s">
        <v>33</v>
      </c>
      <c r="C39" t="s">
        <v>45</v>
      </c>
      <c r="D39">
        <v>18</v>
      </c>
      <c r="E39" s="2">
        <v>800</v>
      </c>
      <c r="F39" s="3">
        <v>0.18</v>
      </c>
      <c r="G39" s="2">
        <v>16992</v>
      </c>
    </row>
    <row r="40" spans="1:7">
      <c r="A40" t="s">
        <v>71</v>
      </c>
      <c r="B40" t="s">
        <v>40</v>
      </c>
      <c r="C40" t="s">
        <v>9</v>
      </c>
      <c r="D40">
        <v>29</v>
      </c>
      <c r="E40" s="2">
        <v>25</v>
      </c>
      <c r="F40" s="3">
        <v>0.12</v>
      </c>
      <c r="G40" s="2">
        <v>812</v>
      </c>
    </row>
    <row r="41" spans="1:7">
      <c r="A41" t="s">
        <v>72</v>
      </c>
      <c r="B41" t="s">
        <v>21</v>
      </c>
      <c r="C41" t="s">
        <v>73</v>
      </c>
      <c r="D41">
        <v>22</v>
      </c>
      <c r="E41" s="2">
        <v>650</v>
      </c>
      <c r="F41" s="3">
        <v>0.18</v>
      </c>
      <c r="G41" s="2">
        <v>16874</v>
      </c>
    </row>
    <row r="42" spans="1:7">
      <c r="A42" t="s">
        <v>74</v>
      </c>
      <c r="B42" t="s">
        <v>16</v>
      </c>
      <c r="C42" t="s">
        <v>75</v>
      </c>
      <c r="D42">
        <v>19</v>
      </c>
      <c r="E42" s="2">
        <v>10</v>
      </c>
      <c r="F42" s="3">
        <v>0.18</v>
      </c>
      <c r="G42" s="2">
        <v>224.2</v>
      </c>
    </row>
    <row r="43" spans="1:7">
      <c r="A43" t="s">
        <v>76</v>
      </c>
      <c r="C43" t="s">
        <v>55</v>
      </c>
      <c r="D43">
        <v>2</v>
      </c>
      <c r="E43" s="2">
        <v>2500</v>
      </c>
      <c r="F43" s="3">
        <v>0.18</v>
      </c>
      <c r="G43" s="2">
        <v>5900</v>
      </c>
    </row>
    <row r="44" spans="1:7">
      <c r="A44" t="s">
        <v>77</v>
      </c>
      <c r="B44" t="s">
        <v>29</v>
      </c>
      <c r="C44" t="s">
        <v>61</v>
      </c>
      <c r="D44">
        <v>31</v>
      </c>
      <c r="E44" s="2">
        <v>7200</v>
      </c>
      <c r="F44" s="3">
        <v>0.18</v>
      </c>
      <c r="G44" s="2">
        <v>263376</v>
      </c>
    </row>
    <row r="45" spans="1:7">
      <c r="A45" t="s">
        <v>78</v>
      </c>
      <c r="B45" t="s">
        <v>8</v>
      </c>
      <c r="C45" t="s">
        <v>57</v>
      </c>
      <c r="D45">
        <v>23</v>
      </c>
      <c r="E45" s="2">
        <v>40</v>
      </c>
      <c r="F45" s="3">
        <v>0.12</v>
      </c>
      <c r="G45" s="2">
        <v>1030.4000000000001</v>
      </c>
    </row>
    <row r="46" spans="1:7">
      <c r="A46" t="s">
        <v>79</v>
      </c>
      <c r="B46" t="s">
        <v>16</v>
      </c>
      <c r="C46" t="s">
        <v>22</v>
      </c>
      <c r="D46">
        <v>32</v>
      </c>
      <c r="E46" s="2">
        <v>5000</v>
      </c>
      <c r="F46" s="3">
        <v>0.18</v>
      </c>
      <c r="G46" s="2">
        <v>188800</v>
      </c>
    </row>
    <row r="47" spans="1:7">
      <c r="A47" t="s">
        <v>80</v>
      </c>
      <c r="B47" t="s">
        <v>16</v>
      </c>
      <c r="C47" t="s">
        <v>59</v>
      </c>
      <c r="D47">
        <v>39</v>
      </c>
      <c r="E47" s="2">
        <v>550</v>
      </c>
      <c r="F47" s="3">
        <v>0.18</v>
      </c>
      <c r="G47" s="2">
        <v>25311</v>
      </c>
    </row>
    <row r="48" spans="1:7">
      <c r="A48" t="s">
        <v>81</v>
      </c>
      <c r="B48" t="s">
        <v>14</v>
      </c>
      <c r="C48" t="s">
        <v>19</v>
      </c>
      <c r="D48">
        <v>23</v>
      </c>
      <c r="E48" s="2">
        <v>1200</v>
      </c>
      <c r="F48" s="3">
        <v>0.18</v>
      </c>
      <c r="G48" s="2">
        <v>32618</v>
      </c>
    </row>
    <row r="49" spans="1:7">
      <c r="A49" t="s">
        <v>82</v>
      </c>
      <c r="B49" t="s">
        <v>24</v>
      </c>
      <c r="C49" t="s">
        <v>17</v>
      </c>
      <c r="D49">
        <v>24</v>
      </c>
      <c r="E49" s="2">
        <v>150</v>
      </c>
      <c r="F49" s="3">
        <v>0.12</v>
      </c>
      <c r="G49" s="2">
        <v>4032</v>
      </c>
    </row>
    <row r="50" spans="1:7">
      <c r="A50" t="s">
        <v>83</v>
      </c>
      <c r="B50" t="s">
        <v>11</v>
      </c>
      <c r="C50" t="s">
        <v>36</v>
      </c>
      <c r="D50">
        <v>27</v>
      </c>
      <c r="E50" s="2">
        <v>35</v>
      </c>
      <c r="F50" s="3">
        <v>0.12</v>
      </c>
      <c r="G50" s="2">
        <v>1058.4000000000001</v>
      </c>
    </row>
    <row r="51" spans="1:7">
      <c r="A51" t="s">
        <v>84</v>
      </c>
      <c r="B51" t="s">
        <v>67</v>
      </c>
      <c r="C51" t="s">
        <v>28</v>
      </c>
      <c r="D51">
        <v>35</v>
      </c>
      <c r="E51" s="2">
        <v>500</v>
      </c>
      <c r="F51" s="3">
        <v>0.18</v>
      </c>
      <c r="G51" s="2">
        <v>20650</v>
      </c>
    </row>
    <row r="52" spans="1:7">
      <c r="A52" t="s">
        <v>85</v>
      </c>
      <c r="B52" t="s">
        <v>21</v>
      </c>
      <c r="C52" t="s">
        <v>9</v>
      </c>
      <c r="D52">
        <v>11</v>
      </c>
      <c r="E52" s="2">
        <v>25</v>
      </c>
      <c r="F52" s="3">
        <v>0.12</v>
      </c>
      <c r="G52" s="2">
        <v>308</v>
      </c>
    </row>
    <row r="53" spans="1:7">
      <c r="A53" t="s">
        <v>86</v>
      </c>
      <c r="B53" t="s">
        <v>21</v>
      </c>
      <c r="C53" t="s">
        <v>45</v>
      </c>
      <c r="D53">
        <v>23</v>
      </c>
      <c r="E53" s="2">
        <v>800</v>
      </c>
      <c r="F53" s="3">
        <v>0.18</v>
      </c>
      <c r="G53" s="2">
        <v>21712</v>
      </c>
    </row>
    <row r="54" spans="1:7">
      <c r="A54" t="s">
        <v>87</v>
      </c>
      <c r="B54" t="s">
        <v>21</v>
      </c>
      <c r="C54" t="s">
        <v>42</v>
      </c>
      <c r="D54">
        <v>3</v>
      </c>
      <c r="E54" s="2">
        <v>450</v>
      </c>
      <c r="F54" s="3">
        <v>0.18</v>
      </c>
      <c r="G54" s="2">
        <v>1593</v>
      </c>
    </row>
    <row r="55" spans="1:7">
      <c r="A55" t="s">
        <v>88</v>
      </c>
      <c r="B55" t="s">
        <v>40</v>
      </c>
      <c r="C55" t="s">
        <v>9</v>
      </c>
      <c r="D55">
        <v>45</v>
      </c>
      <c r="E55" s="2">
        <v>25</v>
      </c>
      <c r="F55" s="3">
        <v>0.12</v>
      </c>
      <c r="G55" s="2">
        <v>1260</v>
      </c>
    </row>
    <row r="56" spans="1:7">
      <c r="A56" t="s">
        <v>89</v>
      </c>
      <c r="B56" t="s">
        <v>11</v>
      </c>
      <c r="C56" t="s">
        <v>73</v>
      </c>
      <c r="D56">
        <v>44</v>
      </c>
      <c r="E56" s="2">
        <v>650</v>
      </c>
      <c r="F56" s="3">
        <v>0.18</v>
      </c>
      <c r="G56" s="2">
        <v>33748</v>
      </c>
    </row>
    <row r="57" spans="1:7">
      <c r="A57" t="s">
        <v>90</v>
      </c>
      <c r="B57" t="s">
        <v>14</v>
      </c>
      <c r="C57" t="s">
        <v>9</v>
      </c>
      <c r="D57">
        <v>10</v>
      </c>
      <c r="E57" s="2">
        <v>25</v>
      </c>
      <c r="F57" s="3">
        <v>0.12</v>
      </c>
      <c r="G57" s="2">
        <v>280</v>
      </c>
    </row>
    <row r="58" spans="1:7">
      <c r="A58" t="s">
        <v>91</v>
      </c>
      <c r="B58" t="s">
        <v>40</v>
      </c>
      <c r="C58" t="s">
        <v>59</v>
      </c>
      <c r="D58">
        <v>37</v>
      </c>
      <c r="E58" s="2">
        <v>550</v>
      </c>
      <c r="F58" s="3">
        <v>0.18</v>
      </c>
      <c r="G58" s="2">
        <v>24013</v>
      </c>
    </row>
    <row r="59" spans="1:7">
      <c r="A59" t="s">
        <v>92</v>
      </c>
      <c r="B59" t="s">
        <v>11</v>
      </c>
      <c r="C59" t="s">
        <v>17</v>
      </c>
      <c r="D59">
        <v>45</v>
      </c>
      <c r="E59" s="2">
        <v>150</v>
      </c>
      <c r="F59" s="3">
        <v>0.12</v>
      </c>
      <c r="G59" s="2">
        <v>7810</v>
      </c>
    </row>
    <row r="60" spans="1:7">
      <c r="A60" t="s">
        <v>93</v>
      </c>
      <c r="B60" t="s">
        <v>33</v>
      </c>
      <c r="C60" t="s">
        <v>28</v>
      </c>
      <c r="D60">
        <v>29</v>
      </c>
      <c r="E60" s="2">
        <v>500</v>
      </c>
      <c r="F60" s="3">
        <v>0.18</v>
      </c>
      <c r="G60" s="2">
        <v>17110</v>
      </c>
    </row>
    <row r="61" spans="1:7">
      <c r="A61" t="s">
        <v>94</v>
      </c>
      <c r="B61" t="s">
        <v>16</v>
      </c>
      <c r="C61" t="s">
        <v>12</v>
      </c>
      <c r="D61">
        <v>21</v>
      </c>
      <c r="E61" s="2">
        <v>1800</v>
      </c>
      <c r="F61" s="3">
        <v>0.18</v>
      </c>
      <c r="G61" s="2">
        <v>44604</v>
      </c>
    </row>
    <row r="62" spans="1:7">
      <c r="A62" t="s">
        <v>95</v>
      </c>
      <c r="B62" t="s">
        <v>67</v>
      </c>
      <c r="C62" t="s">
        <v>28</v>
      </c>
      <c r="D62">
        <v>5</v>
      </c>
      <c r="E62" s="2">
        <v>500</v>
      </c>
      <c r="F62" s="3">
        <v>0.18</v>
      </c>
      <c r="G62" s="2">
        <v>2950</v>
      </c>
    </row>
    <row r="63" spans="1:7">
      <c r="A63" t="s">
        <v>96</v>
      </c>
      <c r="B63" t="s">
        <v>8</v>
      </c>
      <c r="C63" t="s">
        <v>19</v>
      </c>
      <c r="D63">
        <v>49</v>
      </c>
      <c r="E63" s="2">
        <v>1200</v>
      </c>
      <c r="F63" s="3">
        <v>0.18</v>
      </c>
      <c r="G63" s="2">
        <v>69384</v>
      </c>
    </row>
    <row r="64" spans="1:7">
      <c r="A64" t="s">
        <v>97</v>
      </c>
      <c r="B64" t="s">
        <v>40</v>
      </c>
      <c r="C64" t="s">
        <v>12</v>
      </c>
      <c r="D64">
        <v>44</v>
      </c>
      <c r="E64" s="2">
        <v>1800</v>
      </c>
      <c r="F64" s="3">
        <v>0.18</v>
      </c>
      <c r="G64" s="2">
        <v>93456</v>
      </c>
    </row>
    <row r="65" spans="1:7">
      <c r="A65" t="s">
        <v>98</v>
      </c>
      <c r="B65" t="s">
        <v>67</v>
      </c>
      <c r="C65" t="s">
        <v>22</v>
      </c>
      <c r="D65">
        <v>0</v>
      </c>
      <c r="E65" s="2">
        <v>5000</v>
      </c>
      <c r="F65" s="3">
        <v>0.18</v>
      </c>
      <c r="G65" s="2">
        <v>218300</v>
      </c>
    </row>
    <row r="66" spans="1:7">
      <c r="A66" t="s">
        <v>99</v>
      </c>
      <c r="B66" t="s">
        <v>16</v>
      </c>
      <c r="C66" t="s">
        <v>57</v>
      </c>
      <c r="D66">
        <v>31</v>
      </c>
      <c r="E66" s="2">
        <v>40</v>
      </c>
      <c r="F66" s="3">
        <v>0.12</v>
      </c>
      <c r="G66" s="2">
        <v>1388.8</v>
      </c>
    </row>
    <row r="67" spans="1:7">
      <c r="A67" t="s">
        <v>100</v>
      </c>
      <c r="B67" t="s">
        <v>8</v>
      </c>
      <c r="C67" t="s">
        <v>57</v>
      </c>
      <c r="D67">
        <v>2</v>
      </c>
      <c r="E67" s="2">
        <v>40</v>
      </c>
      <c r="F67" s="3">
        <v>0.12</v>
      </c>
      <c r="G67" s="2">
        <v>89.6</v>
      </c>
    </row>
    <row r="68" spans="1:7">
      <c r="A68" t="s">
        <v>101</v>
      </c>
      <c r="B68" t="s">
        <v>29</v>
      </c>
      <c r="C68" t="s">
        <v>12</v>
      </c>
      <c r="D68">
        <v>44</v>
      </c>
      <c r="E68" s="2">
        <v>1800</v>
      </c>
      <c r="F68" s="3">
        <v>0.18</v>
      </c>
      <c r="G68" s="2">
        <v>93456</v>
      </c>
    </row>
    <row r="69" spans="1:7">
      <c r="A69" t="s">
        <v>102</v>
      </c>
      <c r="B69" t="s">
        <v>33</v>
      </c>
      <c r="C69" t="s">
        <v>61</v>
      </c>
      <c r="D69">
        <v>11</v>
      </c>
      <c r="E69" s="2">
        <v>7200</v>
      </c>
      <c r="F69" s="3">
        <v>0.18</v>
      </c>
      <c r="G69" s="2">
        <v>93456</v>
      </c>
    </row>
    <row r="70" spans="1:7">
      <c r="A70" t="s">
        <v>103</v>
      </c>
      <c r="B70" t="s">
        <v>40</v>
      </c>
      <c r="C70" t="s">
        <v>57</v>
      </c>
      <c r="D70">
        <v>4</v>
      </c>
      <c r="E70" s="2">
        <v>40</v>
      </c>
      <c r="F70" s="3">
        <v>0.12</v>
      </c>
      <c r="G70" s="2">
        <v>429.2</v>
      </c>
    </row>
    <row r="71" spans="1:7">
      <c r="A71" t="s">
        <v>104</v>
      </c>
      <c r="B71" t="s">
        <v>8</v>
      </c>
      <c r="C71" t="s">
        <v>75</v>
      </c>
      <c r="D71">
        <v>46</v>
      </c>
      <c r="E71" s="2">
        <v>10</v>
      </c>
      <c r="F71" s="3">
        <v>0.18</v>
      </c>
      <c r="G71" s="2">
        <v>542.79999999999995</v>
      </c>
    </row>
    <row r="72" spans="1:7">
      <c r="A72" t="s">
        <v>105</v>
      </c>
      <c r="B72" t="s">
        <v>21</v>
      </c>
      <c r="C72" t="s">
        <v>61</v>
      </c>
      <c r="D72">
        <v>30</v>
      </c>
      <c r="E72" s="2">
        <v>7200</v>
      </c>
      <c r="F72" s="3">
        <v>0.18</v>
      </c>
      <c r="G72" s="2">
        <v>254880</v>
      </c>
    </row>
    <row r="73" spans="1:7">
      <c r="A73" t="s">
        <v>106</v>
      </c>
      <c r="B73" t="s">
        <v>11</v>
      </c>
      <c r="D73">
        <v>48</v>
      </c>
      <c r="E73" s="2">
        <v>650</v>
      </c>
      <c r="F73" s="3">
        <v>0.18</v>
      </c>
      <c r="G73" s="2">
        <v>36816</v>
      </c>
    </row>
    <row r="74" spans="1:7">
      <c r="A74" t="s">
        <v>107</v>
      </c>
      <c r="B74" t="s">
        <v>21</v>
      </c>
      <c r="C74" t="s">
        <v>45</v>
      </c>
      <c r="D74">
        <v>32</v>
      </c>
      <c r="E74" s="2">
        <v>800</v>
      </c>
      <c r="F74" s="3">
        <v>0.18</v>
      </c>
      <c r="G74" s="2">
        <v>30208</v>
      </c>
    </row>
    <row r="75" spans="1:7">
      <c r="A75" t="s">
        <v>108</v>
      </c>
      <c r="B75" t="s">
        <v>29</v>
      </c>
      <c r="C75" t="s">
        <v>75</v>
      </c>
      <c r="D75">
        <v>18</v>
      </c>
      <c r="E75" s="2">
        <v>10</v>
      </c>
      <c r="F75" s="3">
        <v>0.18</v>
      </c>
      <c r="G75" s="2">
        <v>212.4</v>
      </c>
    </row>
    <row r="76" spans="1:7">
      <c r="A76" t="s">
        <v>109</v>
      </c>
      <c r="B76" t="s">
        <v>67</v>
      </c>
      <c r="C76" t="s">
        <v>28</v>
      </c>
      <c r="D76">
        <v>24</v>
      </c>
      <c r="E76" s="2">
        <v>500</v>
      </c>
      <c r="F76" s="3">
        <v>0.18</v>
      </c>
      <c r="G76" s="2">
        <v>14160</v>
      </c>
    </row>
    <row r="77" spans="1:7">
      <c r="A77" t="s">
        <v>110</v>
      </c>
      <c r="B77" t="s">
        <v>16</v>
      </c>
      <c r="C77" t="s">
        <v>59</v>
      </c>
      <c r="D77">
        <v>8</v>
      </c>
      <c r="E77" s="2">
        <v>550</v>
      </c>
      <c r="F77" s="3">
        <v>0.18</v>
      </c>
      <c r="G77" s="2">
        <v>5192</v>
      </c>
    </row>
    <row r="78" spans="1:7">
      <c r="A78" t="s">
        <v>111</v>
      </c>
      <c r="B78" t="s">
        <v>16</v>
      </c>
      <c r="C78" t="s">
        <v>9</v>
      </c>
      <c r="D78">
        <v>43</v>
      </c>
      <c r="E78" s="2">
        <v>25</v>
      </c>
      <c r="F78" s="3">
        <v>0.12</v>
      </c>
      <c r="G78" s="2">
        <v>1304</v>
      </c>
    </row>
    <row r="79" spans="1:7">
      <c r="A79" t="s">
        <v>112</v>
      </c>
      <c r="B79" t="s">
        <v>24</v>
      </c>
      <c r="C79" t="s">
        <v>50</v>
      </c>
      <c r="D79">
        <v>44</v>
      </c>
      <c r="E79" s="2">
        <v>60</v>
      </c>
      <c r="F79" s="3">
        <v>0.12</v>
      </c>
      <c r="G79" s="2">
        <v>2956.8</v>
      </c>
    </row>
    <row r="80" spans="1:7">
      <c r="A80" t="s">
        <v>113</v>
      </c>
      <c r="B80" t="s">
        <v>16</v>
      </c>
      <c r="C80" t="s">
        <v>12</v>
      </c>
      <c r="D80">
        <v>10</v>
      </c>
      <c r="E80" s="2">
        <v>1800</v>
      </c>
      <c r="F80" s="3">
        <v>0.18</v>
      </c>
      <c r="G80" s="2">
        <v>21240</v>
      </c>
    </row>
    <row r="81" spans="1:7">
      <c r="A81" t="s">
        <v>114</v>
      </c>
      <c r="B81" t="s">
        <v>67</v>
      </c>
      <c r="C81" t="s">
        <v>9</v>
      </c>
      <c r="D81">
        <v>35</v>
      </c>
      <c r="E81" s="2">
        <v>25</v>
      </c>
      <c r="F81" s="3">
        <v>0.12</v>
      </c>
      <c r="G81" s="2">
        <v>980</v>
      </c>
    </row>
    <row r="82" spans="1:7">
      <c r="A82" t="s">
        <v>115</v>
      </c>
      <c r="B82" t="s">
        <v>14</v>
      </c>
      <c r="C82" t="s">
        <v>28</v>
      </c>
      <c r="D82">
        <v>8</v>
      </c>
      <c r="E82" s="2">
        <v>500</v>
      </c>
      <c r="F82" s="3">
        <v>0.18</v>
      </c>
      <c r="G82" s="2">
        <v>4720</v>
      </c>
    </row>
    <row r="83" spans="1:7">
      <c r="A83" t="s">
        <v>116</v>
      </c>
      <c r="B83" t="s">
        <v>8</v>
      </c>
      <c r="C83" t="s">
        <v>73</v>
      </c>
      <c r="D83">
        <v>2</v>
      </c>
      <c r="E83" s="2">
        <v>650</v>
      </c>
      <c r="F83" s="3">
        <v>0.18</v>
      </c>
      <c r="G83" s="2">
        <v>1534</v>
      </c>
    </row>
    <row r="84" spans="1:7">
      <c r="A84" t="s">
        <v>117</v>
      </c>
      <c r="C84" t="s">
        <v>73</v>
      </c>
      <c r="D84">
        <v>10</v>
      </c>
      <c r="E84" s="2">
        <v>650</v>
      </c>
      <c r="F84" s="3">
        <v>0.18</v>
      </c>
      <c r="G84" s="2">
        <v>7670</v>
      </c>
    </row>
    <row r="85" spans="1:7">
      <c r="A85" t="s">
        <v>118</v>
      </c>
      <c r="B85" t="s">
        <v>8</v>
      </c>
      <c r="C85" t="s">
        <v>52</v>
      </c>
      <c r="D85">
        <v>10</v>
      </c>
      <c r="E85" s="2">
        <v>2200</v>
      </c>
      <c r="F85" s="3">
        <v>0.18</v>
      </c>
      <c r="G85" s="2">
        <v>25960</v>
      </c>
    </row>
    <row r="86" spans="1:7">
      <c r="A86" t="s">
        <v>119</v>
      </c>
      <c r="B86" t="s">
        <v>21</v>
      </c>
      <c r="C86" t="s">
        <v>75</v>
      </c>
      <c r="D86">
        <v>4</v>
      </c>
      <c r="E86" s="2">
        <v>10</v>
      </c>
      <c r="F86" s="3">
        <v>0.18</v>
      </c>
      <c r="G86" s="2">
        <v>47.2</v>
      </c>
    </row>
    <row r="87" spans="1:7">
      <c r="A87" t="s">
        <v>120</v>
      </c>
      <c r="B87" t="s">
        <v>40</v>
      </c>
      <c r="C87" t="s">
        <v>61</v>
      </c>
      <c r="D87">
        <v>38</v>
      </c>
      <c r="E87" s="2">
        <v>7200</v>
      </c>
      <c r="F87" s="3">
        <v>0.18</v>
      </c>
      <c r="G87" s="2">
        <v>322848</v>
      </c>
    </row>
    <row r="88" spans="1:7">
      <c r="A88" t="s">
        <v>121</v>
      </c>
      <c r="B88" t="s">
        <v>8</v>
      </c>
      <c r="C88" t="s">
        <v>61</v>
      </c>
      <c r="D88">
        <v>7</v>
      </c>
      <c r="E88" s="2">
        <v>7200</v>
      </c>
      <c r="F88" s="3">
        <v>0.18</v>
      </c>
      <c r="G88" s="2">
        <v>59472</v>
      </c>
    </row>
    <row r="89" spans="1:7">
      <c r="A89" t="s">
        <v>122</v>
      </c>
      <c r="B89" t="s">
        <v>33</v>
      </c>
      <c r="C89" t="s">
        <v>36</v>
      </c>
      <c r="D89">
        <v>50</v>
      </c>
      <c r="E89" s="2">
        <v>35</v>
      </c>
      <c r="F89" s="3">
        <v>0.12</v>
      </c>
      <c r="G89" s="2">
        <v>2060</v>
      </c>
    </row>
    <row r="90" spans="1:7">
      <c r="A90" t="s">
        <v>123</v>
      </c>
      <c r="B90" t="s">
        <v>67</v>
      </c>
      <c r="C90" t="s">
        <v>75</v>
      </c>
      <c r="D90">
        <v>20</v>
      </c>
      <c r="E90" s="2">
        <v>10</v>
      </c>
      <c r="F90" s="3">
        <v>0.18</v>
      </c>
      <c r="G90" s="2">
        <v>236</v>
      </c>
    </row>
    <row r="91" spans="1:7">
      <c r="A91" t="s">
        <v>124</v>
      </c>
      <c r="B91" t="s">
        <v>14</v>
      </c>
      <c r="C91" t="s">
        <v>57</v>
      </c>
      <c r="D91">
        <v>8</v>
      </c>
      <c r="E91" s="2">
        <v>40</v>
      </c>
      <c r="F91" s="3">
        <v>0.12</v>
      </c>
      <c r="G91" s="2">
        <v>358.4</v>
      </c>
    </row>
    <row r="92" spans="1:7">
      <c r="A92" t="s">
        <v>125</v>
      </c>
      <c r="B92" t="s">
        <v>33</v>
      </c>
      <c r="C92" t="s">
        <v>17</v>
      </c>
      <c r="D92">
        <v>17</v>
      </c>
      <c r="E92" s="2">
        <v>150</v>
      </c>
      <c r="F92" s="3">
        <v>0.12</v>
      </c>
      <c r="G92" s="2">
        <v>2856</v>
      </c>
    </row>
    <row r="93" spans="1:7">
      <c r="A93" t="s">
        <v>126</v>
      </c>
      <c r="B93" t="s">
        <v>24</v>
      </c>
      <c r="C93" t="s">
        <v>36</v>
      </c>
      <c r="D93">
        <v>43</v>
      </c>
      <c r="E93" s="2">
        <v>35</v>
      </c>
      <c r="F93" s="3">
        <v>0.12</v>
      </c>
      <c r="G93" s="2">
        <v>1685.6</v>
      </c>
    </row>
    <row r="94" spans="1:7">
      <c r="A94" t="s">
        <v>127</v>
      </c>
      <c r="B94" t="s">
        <v>14</v>
      </c>
      <c r="C94" t="s">
        <v>36</v>
      </c>
      <c r="D94">
        <v>11</v>
      </c>
      <c r="E94" s="2">
        <v>35</v>
      </c>
      <c r="F94" s="3">
        <v>0.12</v>
      </c>
      <c r="G94" s="2">
        <v>431.2</v>
      </c>
    </row>
    <row r="95" spans="1:7">
      <c r="A95" t="s">
        <v>128</v>
      </c>
      <c r="B95" t="s">
        <v>11</v>
      </c>
      <c r="C95" t="s">
        <v>57</v>
      </c>
      <c r="D95">
        <v>17</v>
      </c>
      <c r="E95" s="2">
        <v>40</v>
      </c>
      <c r="F95" s="3">
        <v>0.12</v>
      </c>
      <c r="G95" s="2">
        <v>761.6</v>
      </c>
    </row>
    <row r="96" spans="1:7">
      <c r="A96" t="s">
        <v>129</v>
      </c>
      <c r="B96" t="s">
        <v>33</v>
      </c>
      <c r="C96" t="s">
        <v>36</v>
      </c>
      <c r="D96">
        <v>17</v>
      </c>
      <c r="E96" s="2">
        <v>35</v>
      </c>
      <c r="F96" s="3">
        <v>0.12</v>
      </c>
      <c r="G96" s="2">
        <v>666.4</v>
      </c>
    </row>
    <row r="97" spans="1:7">
      <c r="A97" t="s">
        <v>130</v>
      </c>
      <c r="B97" t="s">
        <v>40</v>
      </c>
      <c r="C97" t="s">
        <v>28</v>
      </c>
      <c r="D97">
        <v>14</v>
      </c>
      <c r="E97" s="2">
        <v>500</v>
      </c>
      <c r="F97" s="3">
        <v>0.18</v>
      </c>
      <c r="G97" s="2">
        <v>8260</v>
      </c>
    </row>
    <row r="98" spans="1:7">
      <c r="A98" t="s">
        <v>131</v>
      </c>
      <c r="B98" t="s">
        <v>29</v>
      </c>
      <c r="C98" t="s">
        <v>45</v>
      </c>
      <c r="D98">
        <v>40</v>
      </c>
      <c r="E98" s="2">
        <v>800</v>
      </c>
      <c r="F98" s="3">
        <v>0.18</v>
      </c>
      <c r="G98" s="2">
        <v>37760</v>
      </c>
    </row>
    <row r="99" spans="1:7">
      <c r="A99" t="s">
        <v>132</v>
      </c>
      <c r="B99" t="s">
        <v>24</v>
      </c>
      <c r="C99" t="s">
        <v>52</v>
      </c>
      <c r="D99">
        <v>30</v>
      </c>
      <c r="E99" s="2">
        <v>2200</v>
      </c>
      <c r="F99" s="3">
        <v>0.18</v>
      </c>
      <c r="G99" s="2">
        <v>77880</v>
      </c>
    </row>
    <row r="100" spans="1:7">
      <c r="A100" t="s">
        <v>133</v>
      </c>
      <c r="B100" t="s">
        <v>40</v>
      </c>
      <c r="C100" t="s">
        <v>9</v>
      </c>
      <c r="D100">
        <v>19</v>
      </c>
      <c r="E100" s="2">
        <v>25</v>
      </c>
      <c r="F100" s="3">
        <v>0.12</v>
      </c>
      <c r="G100" s="2">
        <v>582</v>
      </c>
    </row>
    <row r="101" spans="1:7">
      <c r="A101" t="s">
        <v>134</v>
      </c>
      <c r="B101" t="s">
        <v>16</v>
      </c>
      <c r="C101" t="s">
        <v>19</v>
      </c>
      <c r="D101">
        <v>4</v>
      </c>
      <c r="E101" s="2">
        <v>1200</v>
      </c>
      <c r="F101" s="3">
        <v>0.18</v>
      </c>
      <c r="G101" s="2">
        <v>5664</v>
      </c>
    </row>
    <row r="102" spans="1:7">
      <c r="A102" t="s">
        <v>135</v>
      </c>
      <c r="B102" t="s">
        <v>16</v>
      </c>
      <c r="C102" t="s">
        <v>17</v>
      </c>
      <c r="D102">
        <v>35</v>
      </c>
      <c r="E102" s="2">
        <v>150</v>
      </c>
      <c r="F102" s="3">
        <v>0.12</v>
      </c>
      <c r="G102" s="2">
        <v>5880</v>
      </c>
    </row>
    <row r="103" spans="1:7">
      <c r="A103" t="s">
        <v>136</v>
      </c>
      <c r="B103" t="s">
        <v>33</v>
      </c>
      <c r="C103" t="s">
        <v>57</v>
      </c>
      <c r="D103">
        <v>50</v>
      </c>
      <c r="E103" s="2">
        <v>40</v>
      </c>
      <c r="F103" s="3">
        <v>0.12</v>
      </c>
      <c r="G103" s="2">
        <v>2240</v>
      </c>
    </row>
    <row r="104" spans="1:7">
      <c r="A104" t="s">
        <v>137</v>
      </c>
      <c r="B104" t="s">
        <v>29</v>
      </c>
      <c r="C104" t="s">
        <v>45</v>
      </c>
      <c r="D104">
        <v>0</v>
      </c>
      <c r="E104" s="2">
        <v>800</v>
      </c>
      <c r="F104" s="3">
        <v>0.18</v>
      </c>
      <c r="G104" s="2">
        <v>16992</v>
      </c>
    </row>
    <row r="105" spans="1:7">
      <c r="A105" t="s">
        <v>138</v>
      </c>
      <c r="B105" t="s">
        <v>8</v>
      </c>
      <c r="C105" t="s">
        <v>61</v>
      </c>
      <c r="D105">
        <v>25</v>
      </c>
      <c r="E105" s="2">
        <v>7200</v>
      </c>
      <c r="F105" s="3">
        <v>0.18</v>
      </c>
      <c r="G105" s="2">
        <v>212400</v>
      </c>
    </row>
    <row r="106" spans="1:7">
      <c r="A106" t="s">
        <v>139</v>
      </c>
      <c r="B106" t="s">
        <v>40</v>
      </c>
      <c r="C106" t="s">
        <v>61</v>
      </c>
      <c r="D106">
        <v>18</v>
      </c>
      <c r="E106" s="2">
        <v>7200</v>
      </c>
      <c r="F106" s="3">
        <v>0.18</v>
      </c>
      <c r="G106" s="2">
        <v>152928</v>
      </c>
    </row>
    <row r="107" spans="1:7">
      <c r="A107" t="s">
        <v>140</v>
      </c>
      <c r="B107" t="s">
        <v>67</v>
      </c>
      <c r="C107" t="s">
        <v>12</v>
      </c>
      <c r="D107">
        <v>44</v>
      </c>
      <c r="E107" s="2">
        <v>1800</v>
      </c>
      <c r="F107" s="3">
        <v>0.18</v>
      </c>
      <c r="G107" s="2">
        <v>93456</v>
      </c>
    </row>
    <row r="108" spans="1:7">
      <c r="A108" t="s">
        <v>141</v>
      </c>
      <c r="B108" t="s">
        <v>33</v>
      </c>
      <c r="C108" t="s">
        <v>25</v>
      </c>
      <c r="D108">
        <v>13</v>
      </c>
      <c r="E108" s="2">
        <v>300</v>
      </c>
      <c r="F108" s="3">
        <v>0.18</v>
      </c>
      <c r="G108" s="2">
        <v>4602</v>
      </c>
    </row>
    <row r="109" spans="1:7">
      <c r="A109" t="s">
        <v>142</v>
      </c>
      <c r="B109" t="s">
        <v>67</v>
      </c>
      <c r="C109" t="s">
        <v>42</v>
      </c>
      <c r="D109">
        <v>32</v>
      </c>
      <c r="E109" s="2">
        <v>450</v>
      </c>
      <c r="F109" s="3">
        <v>0.18</v>
      </c>
      <c r="G109" s="2">
        <v>17042</v>
      </c>
    </row>
    <row r="110" spans="1:7">
      <c r="A110" t="s">
        <v>143</v>
      </c>
      <c r="B110" t="s">
        <v>29</v>
      </c>
      <c r="C110" t="s">
        <v>57</v>
      </c>
      <c r="D110">
        <v>24</v>
      </c>
      <c r="E110" s="2">
        <v>40</v>
      </c>
      <c r="F110" s="3">
        <v>0.12</v>
      </c>
      <c r="G110" s="2">
        <v>1075.2</v>
      </c>
    </row>
    <row r="111" spans="1:7">
      <c r="A111" t="s">
        <v>144</v>
      </c>
      <c r="B111" t="s">
        <v>67</v>
      </c>
      <c r="C111" t="s">
        <v>28</v>
      </c>
      <c r="D111">
        <v>2</v>
      </c>
      <c r="E111" s="2">
        <v>500</v>
      </c>
      <c r="F111" s="3">
        <v>0.18</v>
      </c>
      <c r="G111" s="2">
        <v>1180</v>
      </c>
    </row>
    <row r="112" spans="1:7">
      <c r="A112" t="s">
        <v>145</v>
      </c>
      <c r="B112" t="s">
        <v>29</v>
      </c>
      <c r="C112" t="s">
        <v>45</v>
      </c>
      <c r="D112">
        <v>33</v>
      </c>
      <c r="E112" s="2">
        <v>800</v>
      </c>
      <c r="F112" s="3">
        <v>0.18</v>
      </c>
      <c r="G112" s="2">
        <v>31152</v>
      </c>
    </row>
    <row r="113" spans="1:7">
      <c r="A113" t="s">
        <v>146</v>
      </c>
      <c r="B113" t="s">
        <v>29</v>
      </c>
      <c r="D113">
        <v>48</v>
      </c>
      <c r="E113" s="2">
        <v>10</v>
      </c>
      <c r="F113" s="3">
        <v>0.18</v>
      </c>
      <c r="G113" s="2">
        <v>566.4</v>
      </c>
    </row>
    <row r="114" spans="1:7">
      <c r="A114" t="s">
        <v>147</v>
      </c>
      <c r="B114" t="s">
        <v>24</v>
      </c>
      <c r="C114" t="s">
        <v>30</v>
      </c>
      <c r="D114">
        <v>46</v>
      </c>
      <c r="E114" s="2">
        <v>900</v>
      </c>
      <c r="F114" s="3">
        <v>0.18</v>
      </c>
      <c r="G114" s="2">
        <v>48852</v>
      </c>
    </row>
    <row r="115" spans="1:7">
      <c r="A115" t="s">
        <v>148</v>
      </c>
      <c r="B115" t="s">
        <v>40</v>
      </c>
      <c r="C115" t="s">
        <v>22</v>
      </c>
      <c r="D115">
        <v>25</v>
      </c>
      <c r="E115" s="2">
        <v>5000</v>
      </c>
      <c r="F115" s="3">
        <v>0.18</v>
      </c>
      <c r="G115" s="2">
        <v>147500</v>
      </c>
    </row>
    <row r="116" spans="1:7">
      <c r="A116" t="s">
        <v>149</v>
      </c>
      <c r="B116" t="s">
        <v>16</v>
      </c>
      <c r="C116" t="s">
        <v>61</v>
      </c>
      <c r="D116">
        <v>20</v>
      </c>
      <c r="E116" s="2">
        <v>7200</v>
      </c>
      <c r="F116" s="3">
        <v>0.18</v>
      </c>
      <c r="G116" s="2">
        <v>169920</v>
      </c>
    </row>
    <row r="117" spans="1:7">
      <c r="A117" t="s">
        <v>150</v>
      </c>
      <c r="B117" t="s">
        <v>29</v>
      </c>
      <c r="C117" t="s">
        <v>45</v>
      </c>
      <c r="D117">
        <v>50</v>
      </c>
      <c r="E117" s="2">
        <v>800</v>
      </c>
      <c r="F117" s="3">
        <v>0.18</v>
      </c>
      <c r="G117" s="2">
        <v>47200</v>
      </c>
    </row>
    <row r="118" spans="1:7">
      <c r="A118" t="s">
        <v>151</v>
      </c>
      <c r="C118" t="s">
        <v>73</v>
      </c>
      <c r="D118">
        <v>44</v>
      </c>
      <c r="E118" s="2">
        <v>650</v>
      </c>
      <c r="F118" s="3">
        <v>0.18</v>
      </c>
      <c r="G118" s="2">
        <v>33748</v>
      </c>
    </row>
    <row r="119" spans="1:7">
      <c r="A119" t="s">
        <v>152</v>
      </c>
      <c r="B119" t="s">
        <v>40</v>
      </c>
      <c r="C119" t="s">
        <v>17</v>
      </c>
      <c r="D119">
        <v>16</v>
      </c>
      <c r="E119" s="2">
        <v>150</v>
      </c>
      <c r="F119" s="3">
        <v>0.12</v>
      </c>
      <c r="G119" s="2">
        <v>2688</v>
      </c>
    </row>
    <row r="120" spans="1:7">
      <c r="A120" t="s">
        <v>153</v>
      </c>
      <c r="B120" t="s">
        <v>29</v>
      </c>
      <c r="C120" t="s">
        <v>73</v>
      </c>
      <c r="D120">
        <v>4</v>
      </c>
      <c r="E120" s="2">
        <v>650</v>
      </c>
      <c r="F120" s="3">
        <v>0.18</v>
      </c>
      <c r="G120" s="2">
        <v>3118</v>
      </c>
    </row>
    <row r="121" spans="1:7">
      <c r="A121" t="s">
        <v>154</v>
      </c>
      <c r="B121" t="s">
        <v>14</v>
      </c>
      <c r="C121" t="s">
        <v>75</v>
      </c>
      <c r="D121">
        <v>47</v>
      </c>
      <c r="E121" s="2">
        <v>10</v>
      </c>
      <c r="F121" s="3">
        <v>0.18</v>
      </c>
      <c r="G121" s="2">
        <v>554.6</v>
      </c>
    </row>
    <row r="122" spans="1:7">
      <c r="A122" t="s">
        <v>155</v>
      </c>
      <c r="B122" t="s">
        <v>67</v>
      </c>
      <c r="C122" t="s">
        <v>52</v>
      </c>
      <c r="D122">
        <v>20</v>
      </c>
      <c r="E122" s="2">
        <v>2200</v>
      </c>
      <c r="F122" s="3">
        <v>0.18</v>
      </c>
      <c r="G122" s="2">
        <v>51920</v>
      </c>
    </row>
    <row r="123" spans="1:7">
      <c r="A123" t="s">
        <v>156</v>
      </c>
      <c r="B123" t="s">
        <v>40</v>
      </c>
      <c r="C123" t="s">
        <v>42</v>
      </c>
      <c r="D123">
        <v>41</v>
      </c>
      <c r="E123" s="2">
        <v>450</v>
      </c>
      <c r="F123" s="3">
        <v>0.18</v>
      </c>
      <c r="G123" s="2">
        <v>21771</v>
      </c>
    </row>
    <row r="124" spans="1:7">
      <c r="A124" t="s">
        <v>157</v>
      </c>
      <c r="B124" t="s">
        <v>33</v>
      </c>
      <c r="C124" t="s">
        <v>45</v>
      </c>
      <c r="D124">
        <v>25</v>
      </c>
      <c r="E124" s="2">
        <v>800</v>
      </c>
      <c r="F124" s="3">
        <v>0.18</v>
      </c>
      <c r="G124" s="2">
        <v>23600</v>
      </c>
    </row>
    <row r="125" spans="1:7">
      <c r="A125" t="s">
        <v>158</v>
      </c>
      <c r="B125" t="s">
        <v>40</v>
      </c>
      <c r="C125" t="s">
        <v>28</v>
      </c>
      <c r="D125">
        <v>10</v>
      </c>
      <c r="E125" s="2">
        <v>500</v>
      </c>
      <c r="F125" s="3">
        <v>0.18</v>
      </c>
      <c r="G125" s="2">
        <v>5900</v>
      </c>
    </row>
    <row r="126" spans="1:7">
      <c r="A126" t="s">
        <v>159</v>
      </c>
      <c r="B126" t="s">
        <v>40</v>
      </c>
      <c r="C126" t="s">
        <v>25</v>
      </c>
      <c r="D126">
        <v>26</v>
      </c>
      <c r="E126" s="2">
        <v>300</v>
      </c>
      <c r="F126" s="3">
        <v>0.18</v>
      </c>
      <c r="G126" s="2">
        <v>9204</v>
      </c>
    </row>
    <row r="127" spans="1:7">
      <c r="A127" t="s">
        <v>160</v>
      </c>
      <c r="B127" t="s">
        <v>21</v>
      </c>
      <c r="C127" t="s">
        <v>61</v>
      </c>
      <c r="D127">
        <v>50</v>
      </c>
      <c r="E127" s="2">
        <v>7200</v>
      </c>
      <c r="F127" s="3">
        <v>0.18</v>
      </c>
      <c r="G127" s="2">
        <v>424800</v>
      </c>
    </row>
    <row r="128" spans="1:7">
      <c r="A128" t="s">
        <v>161</v>
      </c>
      <c r="B128" t="s">
        <v>40</v>
      </c>
      <c r="C128" t="s">
        <v>75</v>
      </c>
      <c r="D128">
        <v>36</v>
      </c>
      <c r="E128" s="2">
        <v>10</v>
      </c>
      <c r="F128" s="3">
        <v>0.18</v>
      </c>
      <c r="G128" s="2">
        <v>424.8</v>
      </c>
    </row>
    <row r="129" spans="1:7">
      <c r="A129" t="s">
        <v>162</v>
      </c>
      <c r="B129" t="s">
        <v>67</v>
      </c>
      <c r="C129" t="s">
        <v>12</v>
      </c>
      <c r="D129">
        <v>19</v>
      </c>
      <c r="E129" s="2">
        <v>1800</v>
      </c>
      <c r="F129" s="3">
        <v>0.18</v>
      </c>
      <c r="G129" s="2">
        <v>40356</v>
      </c>
    </row>
    <row r="130" spans="1:7">
      <c r="A130" t="s">
        <v>163</v>
      </c>
      <c r="B130" t="s">
        <v>11</v>
      </c>
      <c r="C130" t="s">
        <v>36</v>
      </c>
      <c r="D130">
        <v>12</v>
      </c>
      <c r="E130" s="2">
        <v>35</v>
      </c>
      <c r="F130" s="3">
        <v>0.12</v>
      </c>
      <c r="G130" s="2">
        <v>470.4</v>
      </c>
    </row>
    <row r="131" spans="1:7">
      <c r="A131" t="s">
        <v>164</v>
      </c>
      <c r="B131" t="s">
        <v>21</v>
      </c>
      <c r="C131" t="s">
        <v>59</v>
      </c>
      <c r="D131">
        <v>16</v>
      </c>
      <c r="E131" s="2">
        <v>550</v>
      </c>
      <c r="F131" s="3">
        <v>0.18</v>
      </c>
      <c r="G131" s="2">
        <v>10884</v>
      </c>
    </row>
    <row r="132" spans="1:7">
      <c r="A132" t="s">
        <v>165</v>
      </c>
      <c r="B132" t="s">
        <v>14</v>
      </c>
      <c r="C132" t="s">
        <v>30</v>
      </c>
      <c r="D132">
        <v>49</v>
      </c>
      <c r="E132" s="2">
        <v>900</v>
      </c>
      <c r="F132" s="3">
        <v>0.18</v>
      </c>
      <c r="G132" s="2">
        <v>52038</v>
      </c>
    </row>
    <row r="133" spans="1:7">
      <c r="A133" t="s">
        <v>166</v>
      </c>
      <c r="B133" t="s">
        <v>29</v>
      </c>
      <c r="C133" t="s">
        <v>47</v>
      </c>
      <c r="D133">
        <v>46</v>
      </c>
      <c r="E133" s="2">
        <v>6500</v>
      </c>
      <c r="F133" s="3">
        <v>0.18</v>
      </c>
      <c r="G133" s="2">
        <v>352820</v>
      </c>
    </row>
    <row r="134" spans="1:7">
      <c r="A134" t="s">
        <v>167</v>
      </c>
      <c r="B134" t="s">
        <v>67</v>
      </c>
      <c r="C134" t="s">
        <v>42</v>
      </c>
      <c r="D134">
        <v>49</v>
      </c>
      <c r="E134" s="2">
        <v>450</v>
      </c>
      <c r="F134" s="3">
        <v>0.18</v>
      </c>
      <c r="G134" s="2">
        <v>26019</v>
      </c>
    </row>
    <row r="135" spans="1:7">
      <c r="A135" t="s">
        <v>168</v>
      </c>
      <c r="B135" t="s">
        <v>8</v>
      </c>
      <c r="C135" t="s">
        <v>75</v>
      </c>
      <c r="D135">
        <v>2</v>
      </c>
      <c r="E135" s="2">
        <v>10</v>
      </c>
      <c r="F135" s="3">
        <v>0.18</v>
      </c>
      <c r="G135" s="2">
        <v>23.6</v>
      </c>
    </row>
    <row r="136" spans="1:7">
      <c r="A136" t="s">
        <v>169</v>
      </c>
      <c r="B136" t="s">
        <v>24</v>
      </c>
      <c r="C136" t="s">
        <v>22</v>
      </c>
      <c r="D136">
        <v>47</v>
      </c>
      <c r="E136" s="2">
        <v>5000</v>
      </c>
      <c r="F136" s="3">
        <v>0.18</v>
      </c>
      <c r="G136" s="2">
        <v>277300</v>
      </c>
    </row>
    <row r="137" spans="1:7">
      <c r="A137" t="s">
        <v>170</v>
      </c>
      <c r="B137" t="s">
        <v>24</v>
      </c>
      <c r="C137" t="s">
        <v>73</v>
      </c>
      <c r="D137">
        <v>10</v>
      </c>
      <c r="E137" s="2">
        <v>650</v>
      </c>
      <c r="F137" s="3">
        <v>0.18</v>
      </c>
      <c r="G137" s="2">
        <v>7670</v>
      </c>
    </row>
    <row r="138" spans="1:7">
      <c r="A138" t="s">
        <v>171</v>
      </c>
      <c r="B138" t="s">
        <v>14</v>
      </c>
      <c r="C138" t="s">
        <v>17</v>
      </c>
      <c r="D138">
        <v>35</v>
      </c>
      <c r="E138" s="2">
        <v>150</v>
      </c>
      <c r="F138" s="3">
        <v>0.12</v>
      </c>
      <c r="G138" s="2">
        <v>5880</v>
      </c>
    </row>
    <row r="139" spans="1:7">
      <c r="A139" t="s">
        <v>172</v>
      </c>
      <c r="B139" t="s">
        <v>8</v>
      </c>
      <c r="C139" t="s">
        <v>50</v>
      </c>
      <c r="D139">
        <v>45</v>
      </c>
      <c r="E139" s="2">
        <v>60</v>
      </c>
      <c r="F139" s="3">
        <v>0.12</v>
      </c>
      <c r="G139" s="2">
        <v>3024</v>
      </c>
    </row>
    <row r="140" spans="1:7">
      <c r="A140" t="s">
        <v>173</v>
      </c>
      <c r="B140" t="s">
        <v>16</v>
      </c>
      <c r="C140" t="s">
        <v>59</v>
      </c>
      <c r="D140">
        <v>38</v>
      </c>
      <c r="E140" s="2">
        <v>550</v>
      </c>
      <c r="F140" s="3">
        <v>0.18</v>
      </c>
      <c r="G140" s="2">
        <v>24662</v>
      </c>
    </row>
    <row r="141" spans="1:7">
      <c r="A141" t="s">
        <v>174</v>
      </c>
      <c r="B141" t="s">
        <v>21</v>
      </c>
      <c r="C141" t="s">
        <v>9</v>
      </c>
      <c r="D141">
        <v>10</v>
      </c>
      <c r="E141" s="2">
        <v>25</v>
      </c>
      <c r="F141" s="3">
        <v>0.12</v>
      </c>
      <c r="G141" s="2">
        <v>280</v>
      </c>
    </row>
    <row r="142" spans="1:7">
      <c r="A142" t="s">
        <v>175</v>
      </c>
      <c r="B142" t="s">
        <v>67</v>
      </c>
      <c r="C142" t="s">
        <v>59</v>
      </c>
      <c r="D142">
        <v>14</v>
      </c>
      <c r="E142" s="2">
        <v>550</v>
      </c>
      <c r="F142" s="3">
        <v>0.18</v>
      </c>
      <c r="G142" s="2">
        <v>9011</v>
      </c>
    </row>
    <row r="143" spans="1:7">
      <c r="A143" t="s">
        <v>176</v>
      </c>
      <c r="B143" t="s">
        <v>21</v>
      </c>
      <c r="C143" t="s">
        <v>61</v>
      </c>
      <c r="D143">
        <v>11</v>
      </c>
      <c r="E143" s="2">
        <v>7200</v>
      </c>
      <c r="F143" s="3">
        <v>0.18</v>
      </c>
      <c r="G143" s="2">
        <v>93456</v>
      </c>
    </row>
    <row r="144" spans="1:7">
      <c r="A144" t="s">
        <v>177</v>
      </c>
      <c r="B144" t="s">
        <v>40</v>
      </c>
      <c r="C144" t="s">
        <v>52</v>
      </c>
      <c r="D144">
        <v>21</v>
      </c>
      <c r="E144" s="2">
        <v>2200</v>
      </c>
      <c r="F144" s="3">
        <v>0.18</v>
      </c>
      <c r="G144" s="2">
        <v>54516</v>
      </c>
    </row>
    <row r="145" spans="1:7">
      <c r="A145" t="s">
        <v>178</v>
      </c>
      <c r="B145" t="s">
        <v>24</v>
      </c>
      <c r="C145" t="s">
        <v>45</v>
      </c>
      <c r="D145">
        <v>13</v>
      </c>
      <c r="E145" s="2">
        <v>800</v>
      </c>
      <c r="F145" s="3">
        <v>0.18</v>
      </c>
      <c r="G145" s="2">
        <v>12272</v>
      </c>
    </row>
    <row r="146" spans="1:7">
      <c r="A146" t="s">
        <v>179</v>
      </c>
      <c r="B146" t="s">
        <v>24</v>
      </c>
      <c r="C146" t="s">
        <v>52</v>
      </c>
      <c r="D146">
        <v>0</v>
      </c>
      <c r="E146" s="2">
        <v>2200</v>
      </c>
      <c r="F146" s="3">
        <v>0.18</v>
      </c>
      <c r="G146" s="2">
        <v>75284</v>
      </c>
    </row>
    <row r="147" spans="1:7">
      <c r="A147" t="s">
        <v>180</v>
      </c>
      <c r="B147" t="s">
        <v>40</v>
      </c>
      <c r="C147" t="s">
        <v>57</v>
      </c>
      <c r="D147">
        <v>12</v>
      </c>
      <c r="E147" s="2">
        <v>40</v>
      </c>
      <c r="F147" s="3">
        <v>0.12</v>
      </c>
      <c r="G147" s="2">
        <v>537.6</v>
      </c>
    </row>
    <row r="148" spans="1:7">
      <c r="A148" t="s">
        <v>181</v>
      </c>
      <c r="B148" t="s">
        <v>11</v>
      </c>
      <c r="C148" t="s">
        <v>25</v>
      </c>
      <c r="D148">
        <v>38</v>
      </c>
      <c r="E148" s="2">
        <v>300</v>
      </c>
      <c r="F148" s="3">
        <v>0.18</v>
      </c>
      <c r="G148" s="2">
        <v>13452</v>
      </c>
    </row>
    <row r="149" spans="1:7">
      <c r="A149" t="s">
        <v>182</v>
      </c>
      <c r="B149" t="s">
        <v>33</v>
      </c>
      <c r="C149" t="s">
        <v>47</v>
      </c>
      <c r="D149">
        <v>44</v>
      </c>
      <c r="E149" s="2">
        <v>6500</v>
      </c>
      <c r="F149" s="3">
        <v>0.18</v>
      </c>
      <c r="G149" s="2">
        <v>337480</v>
      </c>
    </row>
    <row r="150" spans="1:7">
      <c r="A150" t="s">
        <v>183</v>
      </c>
      <c r="B150" t="s">
        <v>67</v>
      </c>
      <c r="C150" t="s">
        <v>55</v>
      </c>
      <c r="D150">
        <v>22</v>
      </c>
      <c r="E150" s="2">
        <v>2500</v>
      </c>
      <c r="F150" s="3">
        <v>0.18</v>
      </c>
      <c r="G150" s="2">
        <v>64900</v>
      </c>
    </row>
    <row r="151" spans="1:7">
      <c r="A151" t="s">
        <v>184</v>
      </c>
      <c r="B151" t="s">
        <v>67</v>
      </c>
      <c r="C151" t="s">
        <v>45</v>
      </c>
      <c r="D151">
        <v>19</v>
      </c>
      <c r="E151" s="2">
        <v>800</v>
      </c>
      <c r="F151" s="3">
        <v>0.18</v>
      </c>
      <c r="G151" s="2">
        <v>17936</v>
      </c>
    </row>
  </sheetData>
  <autoFilter ref="A1:G1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600C3-957F-4BC2-AC6B-1752FAF80E71}">
  <dimension ref="A1:O151"/>
  <sheetViews>
    <sheetView tabSelected="1" zoomScale="103" workbookViewId="0">
      <pane ySplit="1" topLeftCell="A2" activePane="bottomLeft" state="frozen"/>
      <selection pane="bottomLeft" activeCell="B7" sqref="B7"/>
    </sheetView>
  </sheetViews>
  <sheetFormatPr defaultRowHeight="14.5"/>
  <cols>
    <col min="1" max="1" width="14" style="8" customWidth="1"/>
    <col min="2" max="2" width="25" style="8" customWidth="1"/>
    <col min="3" max="3" width="24" style="8" customWidth="1"/>
    <col min="4" max="4" width="12" style="8" customWidth="1"/>
    <col min="5" max="5" width="14" style="8" customWidth="1"/>
    <col min="6" max="6" width="15.1796875" style="8" customWidth="1"/>
    <col min="7" max="7" width="18" style="8" customWidth="1"/>
    <col min="8" max="8" width="15.08984375" style="7" customWidth="1"/>
    <col min="9" max="9" width="15.26953125" style="7" customWidth="1"/>
    <col min="10" max="10" width="19.7265625" style="7" customWidth="1"/>
    <col min="11" max="11" width="14.7265625" style="8" customWidth="1"/>
    <col min="12" max="12" width="21" style="8" customWidth="1"/>
    <col min="13" max="13" width="19.54296875" style="8" customWidth="1"/>
    <col min="14" max="14" width="16.6328125" style="8" customWidth="1"/>
    <col min="15" max="15" width="19.81640625" style="8" customWidth="1"/>
    <col min="16" max="16384" width="8.7265625" style="8"/>
  </cols>
  <sheetData>
    <row r="1" spans="1:15" s="23" customFormat="1" ht="28" customHeight="1">
      <c r="A1" s="27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9" t="s">
        <v>196</v>
      </c>
      <c r="I1" s="30" t="s">
        <v>197</v>
      </c>
      <c r="J1" s="29" t="s">
        <v>198</v>
      </c>
      <c r="K1" s="28" t="s">
        <v>199</v>
      </c>
      <c r="L1" s="31" t="s">
        <v>200</v>
      </c>
      <c r="M1" s="31" t="s">
        <v>201</v>
      </c>
      <c r="N1" s="40" t="s">
        <v>222</v>
      </c>
      <c r="O1" s="26" t="s">
        <v>225</v>
      </c>
    </row>
    <row r="2" spans="1:15">
      <c r="A2" s="25" t="s">
        <v>7</v>
      </c>
      <c r="B2" s="8" t="s">
        <v>8</v>
      </c>
      <c r="C2" s="8" t="s">
        <v>9</v>
      </c>
      <c r="D2" s="8">
        <v>36</v>
      </c>
      <c r="E2" s="9">
        <v>25</v>
      </c>
      <c r="F2" s="10">
        <v>0.12</v>
      </c>
      <c r="G2" s="9">
        <v>1008</v>
      </c>
      <c r="H2" s="11">
        <f>D2*E2</f>
        <v>900</v>
      </c>
      <c r="I2" s="7">
        <f>H2*F2</f>
        <v>108</v>
      </c>
      <c r="J2" s="7">
        <f>H2+I2</f>
        <v>1008</v>
      </c>
      <c r="K2" s="7">
        <f>G2-J2</f>
        <v>0</v>
      </c>
      <c r="L2" s="8" t="str">
        <f>IF(K2=0,"Verified","Discrepancy")</f>
        <v>Verified</v>
      </c>
      <c r="M2" s="8" t="str">
        <f>IF(OR(A2="",B2="",C2="",D2&lt;=0,E2&lt;=0),"Review Required","Complete")</f>
        <v>Complete</v>
      </c>
      <c r="N2" s="24" t="str">
        <f t="shared" ref="N2:N33" si="0">IF(A2="","Missing Invoice ID",IF(COUNTIF($A$2:$A$151,A2)&gt;1,"Duplicate","Unique"))</f>
        <v>Unique</v>
      </c>
      <c r="O2" s="8" t="str">
        <f t="shared" ref="O2:O33" si="1">IF(OR(A2="",N2="Missing Invoice ID"),"Missing Invoice ID",IF(N2="Duplicate","Duplicate - Investigate",IF(M2="Review Required","Incomplete - Review",IF(L2="Discrepancy","Amount Mismatch","Passed QC"))))</f>
        <v>Passed QC</v>
      </c>
    </row>
    <row r="3" spans="1:15">
      <c r="A3" s="25" t="s">
        <v>10</v>
      </c>
      <c r="B3" s="8" t="s">
        <v>11</v>
      </c>
      <c r="C3" s="8" t="s">
        <v>12</v>
      </c>
      <c r="D3" s="8">
        <v>5</v>
      </c>
      <c r="E3" s="9">
        <v>1800</v>
      </c>
      <c r="F3" s="10">
        <v>0.18</v>
      </c>
      <c r="G3" s="9">
        <v>10620</v>
      </c>
      <c r="H3" s="11">
        <f t="shared" ref="H3:H66" si="2">D3*E3</f>
        <v>9000</v>
      </c>
      <c r="I3" s="7">
        <f t="shared" ref="I3:I66" si="3">H3*F3</f>
        <v>1620</v>
      </c>
      <c r="J3" s="7">
        <f t="shared" ref="J3:J66" si="4">H3+I3</f>
        <v>10620</v>
      </c>
      <c r="K3" s="7">
        <f t="shared" ref="K3:K66" si="5">G3-J3</f>
        <v>0</v>
      </c>
      <c r="L3" s="8" t="str">
        <f t="shared" ref="L3:L66" si="6">IF(K3=0,"Verified","Discrepancy")</f>
        <v>Verified</v>
      </c>
      <c r="M3" s="8" t="str">
        <f t="shared" ref="M3:M66" si="7">IF(OR(A3="",B3="",C3="",D3&lt;=0,E3&lt;=0),"Review Required","Complete")</f>
        <v>Complete</v>
      </c>
      <c r="N3" s="39" t="str">
        <f t="shared" si="0"/>
        <v>Unique</v>
      </c>
      <c r="O3" s="8" t="str">
        <f t="shared" si="1"/>
        <v>Passed QC</v>
      </c>
    </row>
    <row r="4" spans="1:15">
      <c r="A4" s="25" t="s">
        <v>13</v>
      </c>
      <c r="B4" s="8" t="s">
        <v>14</v>
      </c>
      <c r="C4" s="8" t="s">
        <v>9</v>
      </c>
      <c r="D4" s="8">
        <v>40</v>
      </c>
      <c r="E4" s="9">
        <v>25</v>
      </c>
      <c r="F4" s="10">
        <v>0.12</v>
      </c>
      <c r="G4" s="9">
        <v>1120</v>
      </c>
      <c r="H4" s="11">
        <f t="shared" si="2"/>
        <v>1000</v>
      </c>
      <c r="I4" s="7">
        <f t="shared" si="3"/>
        <v>120</v>
      </c>
      <c r="J4" s="7">
        <f t="shared" si="4"/>
        <v>1120</v>
      </c>
      <c r="K4" s="7">
        <f t="shared" si="5"/>
        <v>0</v>
      </c>
      <c r="L4" s="8" t="str">
        <f t="shared" si="6"/>
        <v>Verified</v>
      </c>
      <c r="M4" s="8" t="str">
        <f t="shared" si="7"/>
        <v>Complete</v>
      </c>
      <c r="N4" s="39" t="str">
        <f t="shared" si="0"/>
        <v>Unique</v>
      </c>
      <c r="O4" s="8" t="str">
        <f t="shared" si="1"/>
        <v>Passed QC</v>
      </c>
    </row>
    <row r="5" spans="1:15">
      <c r="A5" s="25" t="s">
        <v>15</v>
      </c>
      <c r="B5" s="8" t="s">
        <v>16</v>
      </c>
      <c r="C5" s="8" t="s">
        <v>17</v>
      </c>
      <c r="D5" s="8">
        <v>33</v>
      </c>
      <c r="E5" s="9">
        <v>150</v>
      </c>
      <c r="F5" s="10">
        <v>0.12</v>
      </c>
      <c r="G5" s="9">
        <v>5544</v>
      </c>
      <c r="H5" s="11">
        <f t="shared" si="2"/>
        <v>4950</v>
      </c>
      <c r="I5" s="7">
        <f t="shared" si="3"/>
        <v>594</v>
      </c>
      <c r="J5" s="7">
        <f t="shared" si="4"/>
        <v>5544</v>
      </c>
      <c r="K5" s="7">
        <f t="shared" si="5"/>
        <v>0</v>
      </c>
      <c r="L5" s="8" t="str">
        <f t="shared" si="6"/>
        <v>Verified</v>
      </c>
      <c r="M5" s="8" t="str">
        <f t="shared" si="7"/>
        <v>Complete</v>
      </c>
      <c r="N5" s="39" t="str">
        <f t="shared" si="0"/>
        <v>Unique</v>
      </c>
      <c r="O5" s="8" t="str">
        <f t="shared" si="1"/>
        <v>Passed QC</v>
      </c>
    </row>
    <row r="6" spans="1:15">
      <c r="A6" s="25" t="s">
        <v>18</v>
      </c>
      <c r="B6" s="8" t="s">
        <v>16</v>
      </c>
      <c r="C6" s="8" t="s">
        <v>19</v>
      </c>
      <c r="D6" s="8">
        <v>30</v>
      </c>
      <c r="E6" s="9">
        <v>1200</v>
      </c>
      <c r="F6" s="10">
        <v>0.18</v>
      </c>
      <c r="G6" s="9">
        <v>42480</v>
      </c>
      <c r="H6" s="11">
        <f t="shared" si="2"/>
        <v>36000</v>
      </c>
      <c r="I6" s="7">
        <f t="shared" si="3"/>
        <v>6480</v>
      </c>
      <c r="J6" s="7">
        <f t="shared" si="4"/>
        <v>42480</v>
      </c>
      <c r="K6" s="7">
        <f t="shared" si="5"/>
        <v>0</v>
      </c>
      <c r="L6" s="8" t="str">
        <f t="shared" si="6"/>
        <v>Verified</v>
      </c>
      <c r="M6" s="8" t="str">
        <f t="shared" si="7"/>
        <v>Complete</v>
      </c>
      <c r="N6" s="39" t="str">
        <f t="shared" si="0"/>
        <v>Unique</v>
      </c>
      <c r="O6" s="8" t="str">
        <f t="shared" si="1"/>
        <v>Passed QC</v>
      </c>
    </row>
    <row r="7" spans="1:15">
      <c r="A7" s="25" t="s">
        <v>20</v>
      </c>
      <c r="B7" s="8" t="s">
        <v>21</v>
      </c>
      <c r="C7" s="8" t="s">
        <v>22</v>
      </c>
      <c r="D7" s="8">
        <v>14</v>
      </c>
      <c r="E7" s="9">
        <v>5000</v>
      </c>
      <c r="F7" s="10">
        <v>0.18</v>
      </c>
      <c r="G7" s="9">
        <v>82600</v>
      </c>
      <c r="H7" s="11">
        <f t="shared" si="2"/>
        <v>70000</v>
      </c>
      <c r="I7" s="7">
        <f t="shared" si="3"/>
        <v>12600</v>
      </c>
      <c r="J7" s="7">
        <f t="shared" si="4"/>
        <v>82600</v>
      </c>
      <c r="K7" s="7">
        <f t="shared" si="5"/>
        <v>0</v>
      </c>
      <c r="L7" s="8" t="str">
        <f t="shared" si="6"/>
        <v>Verified</v>
      </c>
      <c r="M7" s="8" t="str">
        <f t="shared" si="7"/>
        <v>Complete</v>
      </c>
      <c r="N7" s="39" t="str">
        <f t="shared" si="0"/>
        <v>Unique</v>
      </c>
      <c r="O7" s="8" t="str">
        <f t="shared" si="1"/>
        <v>Passed QC</v>
      </c>
    </row>
    <row r="8" spans="1:15">
      <c r="A8" s="25" t="s">
        <v>23</v>
      </c>
      <c r="B8" s="8" t="s">
        <v>24</v>
      </c>
      <c r="C8" s="8" t="s">
        <v>25</v>
      </c>
      <c r="D8" s="8">
        <v>30</v>
      </c>
      <c r="E8" s="9">
        <v>300</v>
      </c>
      <c r="F8" s="10">
        <v>0.18</v>
      </c>
      <c r="G8" s="9">
        <v>11120</v>
      </c>
      <c r="H8" s="11">
        <f t="shared" si="2"/>
        <v>9000</v>
      </c>
      <c r="I8" s="7">
        <f t="shared" si="3"/>
        <v>1620</v>
      </c>
      <c r="J8" s="7">
        <f t="shared" si="4"/>
        <v>10620</v>
      </c>
      <c r="K8" s="7">
        <f t="shared" si="5"/>
        <v>500</v>
      </c>
      <c r="L8" s="8" t="str">
        <f t="shared" si="6"/>
        <v>Discrepancy</v>
      </c>
      <c r="M8" s="8" t="str">
        <f t="shared" si="7"/>
        <v>Complete</v>
      </c>
      <c r="N8" s="39" t="str">
        <f t="shared" si="0"/>
        <v>Unique</v>
      </c>
      <c r="O8" s="8" t="str">
        <f t="shared" si="1"/>
        <v>Amount Mismatch</v>
      </c>
    </row>
    <row r="9" spans="1:15">
      <c r="A9" s="25" t="s">
        <v>26</v>
      </c>
      <c r="B9" s="8" t="s">
        <v>11</v>
      </c>
      <c r="C9" s="8" t="s">
        <v>9</v>
      </c>
      <c r="D9" s="8">
        <v>32</v>
      </c>
      <c r="E9" s="9">
        <v>25</v>
      </c>
      <c r="F9" s="10">
        <v>0.12</v>
      </c>
      <c r="G9" s="9">
        <v>896</v>
      </c>
      <c r="H9" s="11">
        <f t="shared" si="2"/>
        <v>800</v>
      </c>
      <c r="I9" s="7">
        <f t="shared" si="3"/>
        <v>96</v>
      </c>
      <c r="J9" s="7">
        <f t="shared" si="4"/>
        <v>896</v>
      </c>
      <c r="K9" s="7">
        <f t="shared" si="5"/>
        <v>0</v>
      </c>
      <c r="L9" s="8" t="str">
        <f t="shared" si="6"/>
        <v>Verified</v>
      </c>
      <c r="M9" s="8" t="str">
        <f t="shared" si="7"/>
        <v>Complete</v>
      </c>
      <c r="N9" s="39" t="str">
        <f t="shared" si="0"/>
        <v>Duplicate</v>
      </c>
      <c r="O9" s="8" t="str">
        <f t="shared" si="1"/>
        <v>Duplicate - Investigate</v>
      </c>
    </row>
    <row r="10" spans="1:15">
      <c r="A10" s="25" t="s">
        <v>27</v>
      </c>
      <c r="B10" s="8" t="s">
        <v>11</v>
      </c>
      <c r="C10" s="8" t="s">
        <v>28</v>
      </c>
      <c r="D10" s="8">
        <v>42</v>
      </c>
      <c r="E10" s="9">
        <v>500</v>
      </c>
      <c r="F10" s="10">
        <v>0.18</v>
      </c>
      <c r="G10" s="9">
        <v>24780</v>
      </c>
      <c r="H10" s="11">
        <f t="shared" si="2"/>
        <v>21000</v>
      </c>
      <c r="I10" s="7">
        <f t="shared" si="3"/>
        <v>3780</v>
      </c>
      <c r="J10" s="7">
        <f t="shared" si="4"/>
        <v>24780</v>
      </c>
      <c r="K10" s="7">
        <f t="shared" si="5"/>
        <v>0</v>
      </c>
      <c r="L10" s="8" t="str">
        <f t="shared" si="6"/>
        <v>Verified</v>
      </c>
      <c r="M10" s="8" t="str">
        <f t="shared" si="7"/>
        <v>Complete</v>
      </c>
      <c r="N10" s="39" t="str">
        <f t="shared" si="0"/>
        <v>Unique</v>
      </c>
      <c r="O10" s="8" t="str">
        <f t="shared" si="1"/>
        <v>Passed QC</v>
      </c>
    </row>
    <row r="11" spans="1:15">
      <c r="A11" s="25"/>
      <c r="B11" s="8" t="s">
        <v>29</v>
      </c>
      <c r="C11" s="8" t="s">
        <v>30</v>
      </c>
      <c r="D11" s="8">
        <v>15</v>
      </c>
      <c r="E11" s="9">
        <v>900</v>
      </c>
      <c r="F11" s="10">
        <v>0.18</v>
      </c>
      <c r="G11" s="9">
        <v>15930</v>
      </c>
      <c r="H11" s="11">
        <f t="shared" si="2"/>
        <v>13500</v>
      </c>
      <c r="I11" s="7">
        <f t="shared" si="3"/>
        <v>2430</v>
      </c>
      <c r="J11" s="7">
        <f t="shared" si="4"/>
        <v>15930</v>
      </c>
      <c r="K11" s="7">
        <f t="shared" si="5"/>
        <v>0</v>
      </c>
      <c r="L11" s="8" t="str">
        <f t="shared" si="6"/>
        <v>Verified</v>
      </c>
      <c r="M11" s="8" t="str">
        <f t="shared" si="7"/>
        <v>Review Required</v>
      </c>
      <c r="N11" s="39" t="str">
        <f t="shared" si="0"/>
        <v>Missing Invoice ID</v>
      </c>
      <c r="O11" s="8" t="str">
        <f t="shared" si="1"/>
        <v>Missing Invoice ID</v>
      </c>
    </row>
    <row r="12" spans="1:15">
      <c r="A12" s="25" t="s">
        <v>31</v>
      </c>
      <c r="B12" s="8" t="s">
        <v>21</v>
      </c>
      <c r="C12" s="8" t="s">
        <v>30</v>
      </c>
      <c r="D12" s="8">
        <v>31</v>
      </c>
      <c r="E12" s="9">
        <v>900</v>
      </c>
      <c r="F12" s="10">
        <v>0.18</v>
      </c>
      <c r="G12" s="9">
        <v>32922</v>
      </c>
      <c r="H12" s="11">
        <f t="shared" si="2"/>
        <v>27900</v>
      </c>
      <c r="I12" s="7">
        <f t="shared" si="3"/>
        <v>5022</v>
      </c>
      <c r="J12" s="7">
        <f t="shared" si="4"/>
        <v>32922</v>
      </c>
      <c r="K12" s="7">
        <f t="shared" si="5"/>
        <v>0</v>
      </c>
      <c r="L12" s="8" t="str">
        <f t="shared" si="6"/>
        <v>Verified</v>
      </c>
      <c r="M12" s="8" t="str">
        <f t="shared" si="7"/>
        <v>Complete</v>
      </c>
      <c r="N12" s="39" t="str">
        <f t="shared" si="0"/>
        <v>Unique</v>
      </c>
      <c r="O12" s="8" t="str">
        <f t="shared" si="1"/>
        <v>Passed QC</v>
      </c>
    </row>
    <row r="13" spans="1:15">
      <c r="A13" s="25" t="s">
        <v>32</v>
      </c>
      <c r="B13" s="8" t="s">
        <v>33</v>
      </c>
      <c r="C13" s="8" t="s">
        <v>9</v>
      </c>
      <c r="D13" s="8">
        <v>9</v>
      </c>
      <c r="E13" s="9">
        <v>25</v>
      </c>
      <c r="F13" s="10">
        <v>0.12</v>
      </c>
      <c r="G13" s="9">
        <v>252</v>
      </c>
      <c r="H13" s="11">
        <f t="shared" si="2"/>
        <v>225</v>
      </c>
      <c r="I13" s="7">
        <f t="shared" si="3"/>
        <v>27</v>
      </c>
      <c r="J13" s="7">
        <f t="shared" si="4"/>
        <v>252</v>
      </c>
      <c r="K13" s="7">
        <f t="shared" si="5"/>
        <v>0</v>
      </c>
      <c r="L13" s="8" t="str">
        <f t="shared" si="6"/>
        <v>Verified</v>
      </c>
      <c r="M13" s="8" t="str">
        <f t="shared" si="7"/>
        <v>Complete</v>
      </c>
      <c r="N13" s="39" t="str">
        <f t="shared" si="0"/>
        <v>Unique</v>
      </c>
      <c r="O13" s="8" t="str">
        <f t="shared" si="1"/>
        <v>Passed QC</v>
      </c>
    </row>
    <row r="14" spans="1:15">
      <c r="A14" s="25" t="s">
        <v>34</v>
      </c>
      <c r="C14" s="8" t="s">
        <v>19</v>
      </c>
      <c r="D14" s="8">
        <v>44</v>
      </c>
      <c r="E14" s="9">
        <v>1200</v>
      </c>
      <c r="F14" s="10">
        <v>0.18</v>
      </c>
      <c r="G14" s="9">
        <v>62304</v>
      </c>
      <c r="H14" s="11">
        <f t="shared" si="2"/>
        <v>52800</v>
      </c>
      <c r="I14" s="7">
        <f t="shared" si="3"/>
        <v>9504</v>
      </c>
      <c r="J14" s="7">
        <f t="shared" si="4"/>
        <v>62304</v>
      </c>
      <c r="K14" s="7">
        <f t="shared" si="5"/>
        <v>0</v>
      </c>
      <c r="L14" s="8" t="str">
        <f t="shared" si="6"/>
        <v>Verified</v>
      </c>
      <c r="M14" s="8" t="str">
        <f t="shared" si="7"/>
        <v>Review Required</v>
      </c>
      <c r="N14" s="39" t="str">
        <f t="shared" si="0"/>
        <v>Unique</v>
      </c>
      <c r="O14" s="8" t="str">
        <f t="shared" si="1"/>
        <v>Incomplete - Review</v>
      </c>
    </row>
    <row r="15" spans="1:15">
      <c r="A15" s="25" t="s">
        <v>35</v>
      </c>
      <c r="B15" s="8" t="s">
        <v>33</v>
      </c>
      <c r="C15" s="8" t="s">
        <v>36</v>
      </c>
      <c r="D15" s="8">
        <v>26</v>
      </c>
      <c r="E15" s="9">
        <v>35</v>
      </c>
      <c r="F15" s="10">
        <v>0.12</v>
      </c>
      <c r="G15" s="9">
        <v>1019.2</v>
      </c>
      <c r="H15" s="11">
        <f t="shared" si="2"/>
        <v>910</v>
      </c>
      <c r="I15" s="7">
        <f t="shared" si="3"/>
        <v>109.2</v>
      </c>
      <c r="J15" s="7">
        <f t="shared" si="4"/>
        <v>1019.2</v>
      </c>
      <c r="K15" s="7">
        <f t="shared" si="5"/>
        <v>0</v>
      </c>
      <c r="L15" s="8" t="str">
        <f t="shared" si="6"/>
        <v>Verified</v>
      </c>
      <c r="M15" s="8" t="str">
        <f t="shared" si="7"/>
        <v>Complete</v>
      </c>
      <c r="N15" s="39" t="str">
        <f t="shared" si="0"/>
        <v>Unique</v>
      </c>
      <c r="O15" s="8" t="str">
        <f t="shared" si="1"/>
        <v>Passed QC</v>
      </c>
    </row>
    <row r="16" spans="1:15">
      <c r="A16" s="25" t="s">
        <v>37</v>
      </c>
      <c r="B16" s="8" t="s">
        <v>16</v>
      </c>
      <c r="C16" s="8" t="s">
        <v>30</v>
      </c>
      <c r="D16" s="8">
        <v>6</v>
      </c>
      <c r="E16" s="9">
        <v>900</v>
      </c>
      <c r="F16" s="10">
        <v>0.18</v>
      </c>
      <c r="G16" s="9">
        <v>6372</v>
      </c>
      <c r="H16" s="11">
        <f t="shared" si="2"/>
        <v>5400</v>
      </c>
      <c r="I16" s="7">
        <f t="shared" si="3"/>
        <v>972</v>
      </c>
      <c r="J16" s="7">
        <f t="shared" si="4"/>
        <v>6372</v>
      </c>
      <c r="K16" s="7">
        <f t="shared" si="5"/>
        <v>0</v>
      </c>
      <c r="L16" s="8" t="str">
        <f t="shared" si="6"/>
        <v>Verified</v>
      </c>
      <c r="M16" s="8" t="str">
        <f t="shared" si="7"/>
        <v>Complete</v>
      </c>
      <c r="N16" s="39" t="str">
        <f t="shared" si="0"/>
        <v>Unique</v>
      </c>
      <c r="O16" s="8" t="str">
        <f t="shared" si="1"/>
        <v>Passed QC</v>
      </c>
    </row>
    <row r="17" spans="1:15">
      <c r="A17" s="25" t="s">
        <v>38</v>
      </c>
      <c r="B17" s="8" t="s">
        <v>29</v>
      </c>
      <c r="C17" s="8" t="s">
        <v>30</v>
      </c>
      <c r="D17" s="8">
        <v>2</v>
      </c>
      <c r="E17" s="9">
        <v>900</v>
      </c>
      <c r="F17" s="10">
        <v>0.18</v>
      </c>
      <c r="G17" s="9">
        <v>2124</v>
      </c>
      <c r="H17" s="11">
        <f t="shared" si="2"/>
        <v>1800</v>
      </c>
      <c r="I17" s="7">
        <f t="shared" si="3"/>
        <v>324</v>
      </c>
      <c r="J17" s="7">
        <f t="shared" si="4"/>
        <v>2124</v>
      </c>
      <c r="K17" s="7">
        <f t="shared" si="5"/>
        <v>0</v>
      </c>
      <c r="L17" s="8" t="str">
        <f t="shared" si="6"/>
        <v>Verified</v>
      </c>
      <c r="M17" s="8" t="str">
        <f t="shared" si="7"/>
        <v>Complete</v>
      </c>
      <c r="N17" s="39" t="str">
        <f t="shared" si="0"/>
        <v>Unique</v>
      </c>
      <c r="O17" s="8" t="str">
        <f t="shared" si="1"/>
        <v>Passed QC</v>
      </c>
    </row>
    <row r="18" spans="1:15">
      <c r="A18" s="25" t="s">
        <v>39</v>
      </c>
      <c r="B18" s="8" t="s">
        <v>40</v>
      </c>
      <c r="C18" s="8" t="s">
        <v>9</v>
      </c>
      <c r="D18" s="8">
        <v>36</v>
      </c>
      <c r="E18" s="9">
        <v>25</v>
      </c>
      <c r="F18" s="10">
        <v>0.12</v>
      </c>
      <c r="G18" s="9">
        <v>1008</v>
      </c>
      <c r="H18" s="11">
        <f t="shared" si="2"/>
        <v>900</v>
      </c>
      <c r="I18" s="7">
        <f t="shared" si="3"/>
        <v>108</v>
      </c>
      <c r="J18" s="7">
        <f t="shared" si="4"/>
        <v>1008</v>
      </c>
      <c r="K18" s="7">
        <f t="shared" si="5"/>
        <v>0</v>
      </c>
      <c r="L18" s="8" t="str">
        <f t="shared" si="6"/>
        <v>Verified</v>
      </c>
      <c r="M18" s="8" t="str">
        <f t="shared" si="7"/>
        <v>Complete</v>
      </c>
      <c r="N18" s="39" t="str">
        <f t="shared" si="0"/>
        <v>Unique</v>
      </c>
      <c r="O18" s="8" t="str">
        <f t="shared" si="1"/>
        <v>Passed QC</v>
      </c>
    </row>
    <row r="19" spans="1:15">
      <c r="A19" s="25" t="s">
        <v>41</v>
      </c>
      <c r="B19" s="8" t="s">
        <v>21</v>
      </c>
      <c r="C19" s="8" t="s">
        <v>42</v>
      </c>
      <c r="D19" s="8">
        <v>3</v>
      </c>
      <c r="E19" s="9">
        <v>450</v>
      </c>
      <c r="F19" s="10">
        <v>0.18</v>
      </c>
      <c r="G19" s="9">
        <v>1593</v>
      </c>
      <c r="H19" s="11">
        <f t="shared" si="2"/>
        <v>1350</v>
      </c>
      <c r="I19" s="7">
        <f t="shared" si="3"/>
        <v>243</v>
      </c>
      <c r="J19" s="7">
        <f t="shared" si="4"/>
        <v>1593</v>
      </c>
      <c r="K19" s="7">
        <f t="shared" si="5"/>
        <v>0</v>
      </c>
      <c r="L19" s="8" t="str">
        <f t="shared" si="6"/>
        <v>Verified</v>
      </c>
      <c r="M19" s="8" t="str">
        <f t="shared" si="7"/>
        <v>Complete</v>
      </c>
      <c r="N19" s="39" t="str">
        <f t="shared" si="0"/>
        <v>Unique</v>
      </c>
      <c r="O19" s="8" t="str">
        <f t="shared" si="1"/>
        <v>Passed QC</v>
      </c>
    </row>
    <row r="20" spans="1:15">
      <c r="A20" s="25" t="s">
        <v>43</v>
      </c>
      <c r="B20" s="8" t="s">
        <v>11</v>
      </c>
      <c r="C20" s="8" t="s">
        <v>42</v>
      </c>
      <c r="D20" s="8">
        <v>2</v>
      </c>
      <c r="E20" s="9">
        <v>450</v>
      </c>
      <c r="F20" s="10">
        <v>0.18</v>
      </c>
      <c r="G20" s="9">
        <v>1312</v>
      </c>
      <c r="H20" s="11">
        <f t="shared" si="2"/>
        <v>900</v>
      </c>
      <c r="I20" s="7">
        <f t="shared" si="3"/>
        <v>162</v>
      </c>
      <c r="J20" s="7">
        <f t="shared" si="4"/>
        <v>1062</v>
      </c>
      <c r="K20" s="7">
        <f t="shared" si="5"/>
        <v>250</v>
      </c>
      <c r="L20" s="8" t="str">
        <f t="shared" si="6"/>
        <v>Discrepancy</v>
      </c>
      <c r="M20" s="8" t="str">
        <f t="shared" si="7"/>
        <v>Complete</v>
      </c>
      <c r="N20" s="39" t="str">
        <f t="shared" si="0"/>
        <v>Unique</v>
      </c>
      <c r="O20" s="8" t="str">
        <f t="shared" si="1"/>
        <v>Amount Mismatch</v>
      </c>
    </row>
    <row r="21" spans="1:15">
      <c r="A21" s="25" t="s">
        <v>44</v>
      </c>
      <c r="B21" s="8" t="s">
        <v>8</v>
      </c>
      <c r="C21" s="8" t="s">
        <v>45</v>
      </c>
      <c r="D21" s="8">
        <v>4</v>
      </c>
      <c r="E21" s="9">
        <v>800</v>
      </c>
      <c r="F21" s="10">
        <v>0.18</v>
      </c>
      <c r="G21" s="9">
        <v>3776</v>
      </c>
      <c r="H21" s="11">
        <f t="shared" si="2"/>
        <v>3200</v>
      </c>
      <c r="I21" s="7">
        <f t="shared" si="3"/>
        <v>576</v>
      </c>
      <c r="J21" s="7">
        <f t="shared" si="4"/>
        <v>3776</v>
      </c>
      <c r="K21" s="7">
        <f t="shared" si="5"/>
        <v>0</v>
      </c>
      <c r="L21" s="8" t="str">
        <f t="shared" si="6"/>
        <v>Verified</v>
      </c>
      <c r="M21" s="8" t="str">
        <f t="shared" si="7"/>
        <v>Complete</v>
      </c>
      <c r="N21" s="39" t="str">
        <f t="shared" si="0"/>
        <v>Unique</v>
      </c>
      <c r="O21" s="8" t="str">
        <f t="shared" si="1"/>
        <v>Passed QC</v>
      </c>
    </row>
    <row r="22" spans="1:15">
      <c r="A22" s="25" t="s">
        <v>46</v>
      </c>
      <c r="B22" s="8" t="s">
        <v>29</v>
      </c>
      <c r="C22" s="8" t="s">
        <v>47</v>
      </c>
      <c r="D22" s="8">
        <v>19</v>
      </c>
      <c r="E22" s="9">
        <v>6500</v>
      </c>
      <c r="F22" s="10">
        <v>0.18</v>
      </c>
      <c r="G22" s="9">
        <v>145730</v>
      </c>
      <c r="H22" s="11">
        <f t="shared" si="2"/>
        <v>123500</v>
      </c>
      <c r="I22" s="7">
        <f t="shared" si="3"/>
        <v>22230</v>
      </c>
      <c r="J22" s="7">
        <f t="shared" si="4"/>
        <v>145730</v>
      </c>
      <c r="K22" s="7">
        <f t="shared" si="5"/>
        <v>0</v>
      </c>
      <c r="L22" s="8" t="str">
        <f t="shared" si="6"/>
        <v>Verified</v>
      </c>
      <c r="M22" s="8" t="str">
        <f t="shared" si="7"/>
        <v>Complete</v>
      </c>
      <c r="N22" s="39" t="str">
        <f t="shared" si="0"/>
        <v>Unique</v>
      </c>
      <c r="O22" s="8" t="str">
        <f t="shared" si="1"/>
        <v>Passed QC</v>
      </c>
    </row>
    <row r="23" spans="1:15">
      <c r="A23" s="25" t="s">
        <v>48</v>
      </c>
      <c r="B23" s="8" t="s">
        <v>21</v>
      </c>
      <c r="C23" s="8" t="s">
        <v>45</v>
      </c>
      <c r="D23" s="8">
        <v>27</v>
      </c>
      <c r="E23" s="9">
        <v>800</v>
      </c>
      <c r="F23" s="10">
        <v>0.18</v>
      </c>
      <c r="G23" s="9">
        <v>25488</v>
      </c>
      <c r="H23" s="11">
        <f t="shared" si="2"/>
        <v>21600</v>
      </c>
      <c r="I23" s="7">
        <f t="shared" si="3"/>
        <v>3888</v>
      </c>
      <c r="J23" s="7">
        <f t="shared" si="4"/>
        <v>25488</v>
      </c>
      <c r="K23" s="7">
        <f t="shared" si="5"/>
        <v>0</v>
      </c>
      <c r="L23" s="8" t="str">
        <f t="shared" si="6"/>
        <v>Verified</v>
      </c>
      <c r="M23" s="8" t="str">
        <f t="shared" si="7"/>
        <v>Complete</v>
      </c>
      <c r="N23" s="39" t="str">
        <f t="shared" si="0"/>
        <v>Unique</v>
      </c>
      <c r="O23" s="8" t="str">
        <f t="shared" si="1"/>
        <v>Passed QC</v>
      </c>
    </row>
    <row r="24" spans="1:15">
      <c r="A24" s="25" t="s">
        <v>49</v>
      </c>
      <c r="B24" s="8" t="s">
        <v>11</v>
      </c>
      <c r="C24" s="8" t="s">
        <v>50</v>
      </c>
      <c r="D24" s="8">
        <v>32</v>
      </c>
      <c r="E24" s="9">
        <v>60</v>
      </c>
      <c r="F24" s="10">
        <v>0.12</v>
      </c>
      <c r="G24" s="9">
        <v>2150.4</v>
      </c>
      <c r="H24" s="11">
        <f t="shared" si="2"/>
        <v>1920</v>
      </c>
      <c r="I24" s="7">
        <f t="shared" si="3"/>
        <v>230.39999999999998</v>
      </c>
      <c r="J24" s="7">
        <f t="shared" si="4"/>
        <v>2150.4</v>
      </c>
      <c r="K24" s="7">
        <f t="shared" si="5"/>
        <v>0</v>
      </c>
      <c r="L24" s="8" t="str">
        <f t="shared" si="6"/>
        <v>Verified</v>
      </c>
      <c r="M24" s="8" t="str">
        <f t="shared" si="7"/>
        <v>Complete</v>
      </c>
      <c r="N24" s="39" t="str">
        <f t="shared" si="0"/>
        <v>Unique</v>
      </c>
      <c r="O24" s="8" t="str">
        <f t="shared" si="1"/>
        <v>Passed QC</v>
      </c>
    </row>
    <row r="25" spans="1:15">
      <c r="A25" s="25" t="s">
        <v>51</v>
      </c>
      <c r="B25" s="8" t="s">
        <v>24</v>
      </c>
      <c r="C25" s="8" t="s">
        <v>52</v>
      </c>
      <c r="D25" s="8">
        <v>0</v>
      </c>
      <c r="E25" s="9">
        <v>2200</v>
      </c>
      <c r="F25" s="10">
        <v>0.18</v>
      </c>
      <c r="G25" s="9">
        <v>88264</v>
      </c>
      <c r="H25" s="11">
        <f t="shared" si="2"/>
        <v>0</v>
      </c>
      <c r="I25" s="7">
        <f t="shared" si="3"/>
        <v>0</v>
      </c>
      <c r="J25" s="7">
        <f t="shared" si="4"/>
        <v>0</v>
      </c>
      <c r="K25" s="7">
        <f t="shared" si="5"/>
        <v>88264</v>
      </c>
      <c r="L25" s="8" t="str">
        <f t="shared" si="6"/>
        <v>Discrepancy</v>
      </c>
      <c r="M25" s="8" t="str">
        <f t="shared" si="7"/>
        <v>Review Required</v>
      </c>
      <c r="N25" s="39" t="str">
        <f t="shared" si="0"/>
        <v>Unique</v>
      </c>
      <c r="O25" s="8" t="str">
        <f t="shared" si="1"/>
        <v>Incomplete - Review</v>
      </c>
    </row>
    <row r="26" spans="1:15">
      <c r="A26" s="25" t="s">
        <v>53</v>
      </c>
      <c r="B26" s="8" t="s">
        <v>33</v>
      </c>
      <c r="C26" s="8" t="s">
        <v>47</v>
      </c>
      <c r="D26" s="8">
        <v>46</v>
      </c>
      <c r="E26" s="9">
        <v>6500</v>
      </c>
      <c r="F26" s="10">
        <v>0.18</v>
      </c>
      <c r="G26" s="9">
        <v>352820</v>
      </c>
      <c r="H26" s="11">
        <f t="shared" si="2"/>
        <v>299000</v>
      </c>
      <c r="I26" s="7">
        <f t="shared" si="3"/>
        <v>53820</v>
      </c>
      <c r="J26" s="7">
        <f t="shared" si="4"/>
        <v>352820</v>
      </c>
      <c r="K26" s="7">
        <f t="shared" si="5"/>
        <v>0</v>
      </c>
      <c r="L26" s="8" t="str">
        <f t="shared" si="6"/>
        <v>Verified</v>
      </c>
      <c r="M26" s="8" t="str">
        <f t="shared" si="7"/>
        <v>Complete</v>
      </c>
      <c r="N26" s="39" t="str">
        <f t="shared" si="0"/>
        <v>Unique</v>
      </c>
      <c r="O26" s="8" t="str">
        <f t="shared" si="1"/>
        <v>Passed QC</v>
      </c>
    </row>
    <row r="27" spans="1:15">
      <c r="A27" s="25" t="s">
        <v>54</v>
      </c>
      <c r="B27" s="8" t="s">
        <v>14</v>
      </c>
      <c r="C27" s="8" t="s">
        <v>55</v>
      </c>
      <c r="D27" s="8">
        <v>7</v>
      </c>
      <c r="E27" s="9">
        <v>2500</v>
      </c>
      <c r="F27" s="10">
        <v>0.18</v>
      </c>
      <c r="G27" s="9">
        <v>20650</v>
      </c>
      <c r="H27" s="11">
        <f t="shared" si="2"/>
        <v>17500</v>
      </c>
      <c r="I27" s="7">
        <f t="shared" si="3"/>
        <v>3150</v>
      </c>
      <c r="J27" s="7">
        <f t="shared" si="4"/>
        <v>20650</v>
      </c>
      <c r="K27" s="7">
        <f t="shared" si="5"/>
        <v>0</v>
      </c>
      <c r="L27" s="8" t="str">
        <f t="shared" si="6"/>
        <v>Verified</v>
      </c>
      <c r="M27" s="8" t="str">
        <f t="shared" si="7"/>
        <v>Complete</v>
      </c>
      <c r="N27" s="39" t="str">
        <f t="shared" si="0"/>
        <v>Unique</v>
      </c>
      <c r="O27" s="8" t="str">
        <f t="shared" si="1"/>
        <v>Passed QC</v>
      </c>
    </row>
    <row r="28" spans="1:15">
      <c r="A28" s="25" t="s">
        <v>56</v>
      </c>
      <c r="B28" s="8" t="s">
        <v>21</v>
      </c>
      <c r="C28" s="8" t="s">
        <v>57</v>
      </c>
      <c r="D28" s="8">
        <v>38</v>
      </c>
      <c r="E28" s="9">
        <v>40</v>
      </c>
      <c r="F28" s="10">
        <v>0.12</v>
      </c>
      <c r="G28" s="9">
        <v>1702.4</v>
      </c>
      <c r="H28" s="11">
        <f t="shared" si="2"/>
        <v>1520</v>
      </c>
      <c r="I28" s="7">
        <f t="shared" si="3"/>
        <v>182.4</v>
      </c>
      <c r="J28" s="7">
        <f t="shared" si="4"/>
        <v>1702.4</v>
      </c>
      <c r="K28" s="7">
        <f t="shared" si="5"/>
        <v>0</v>
      </c>
      <c r="L28" s="8" t="str">
        <f t="shared" si="6"/>
        <v>Verified</v>
      </c>
      <c r="M28" s="8" t="str">
        <f t="shared" si="7"/>
        <v>Complete</v>
      </c>
      <c r="N28" s="39" t="str">
        <f t="shared" si="0"/>
        <v>Unique</v>
      </c>
      <c r="O28" s="8" t="str">
        <f t="shared" si="1"/>
        <v>Passed QC</v>
      </c>
    </row>
    <row r="29" spans="1:15">
      <c r="A29" s="25" t="s">
        <v>58</v>
      </c>
      <c r="B29" s="8" t="s">
        <v>11</v>
      </c>
      <c r="C29" s="8" t="s">
        <v>59</v>
      </c>
      <c r="D29" s="8">
        <v>46</v>
      </c>
      <c r="E29" s="9">
        <v>550</v>
      </c>
      <c r="F29" s="10">
        <v>0.18</v>
      </c>
      <c r="G29" s="9">
        <v>29779</v>
      </c>
      <c r="H29" s="11">
        <f t="shared" si="2"/>
        <v>25300</v>
      </c>
      <c r="I29" s="7">
        <f t="shared" si="3"/>
        <v>4554</v>
      </c>
      <c r="J29" s="7">
        <f t="shared" si="4"/>
        <v>29854</v>
      </c>
      <c r="K29" s="7">
        <f t="shared" si="5"/>
        <v>-75</v>
      </c>
      <c r="L29" s="8" t="str">
        <f t="shared" si="6"/>
        <v>Discrepancy</v>
      </c>
      <c r="M29" s="8" t="str">
        <f t="shared" si="7"/>
        <v>Complete</v>
      </c>
      <c r="N29" s="39" t="str">
        <f t="shared" si="0"/>
        <v>Unique</v>
      </c>
      <c r="O29" s="8" t="str">
        <f t="shared" si="1"/>
        <v>Amount Mismatch</v>
      </c>
    </row>
    <row r="30" spans="1:15">
      <c r="A30" s="25" t="s">
        <v>60</v>
      </c>
      <c r="B30" s="8" t="s">
        <v>21</v>
      </c>
      <c r="C30" s="8" t="s">
        <v>61</v>
      </c>
      <c r="D30" s="8">
        <v>40</v>
      </c>
      <c r="E30" s="9">
        <v>7200</v>
      </c>
      <c r="F30" s="10">
        <v>0.18</v>
      </c>
      <c r="G30" s="9">
        <v>339840</v>
      </c>
      <c r="H30" s="11">
        <f t="shared" si="2"/>
        <v>288000</v>
      </c>
      <c r="I30" s="7">
        <f t="shared" si="3"/>
        <v>51840</v>
      </c>
      <c r="J30" s="7">
        <f t="shared" si="4"/>
        <v>339840</v>
      </c>
      <c r="K30" s="7">
        <f t="shared" si="5"/>
        <v>0</v>
      </c>
      <c r="L30" s="8" t="str">
        <f t="shared" si="6"/>
        <v>Verified</v>
      </c>
      <c r="M30" s="8" t="str">
        <f t="shared" si="7"/>
        <v>Complete</v>
      </c>
      <c r="N30" s="39" t="str">
        <f t="shared" si="0"/>
        <v>Unique</v>
      </c>
      <c r="O30" s="8" t="str">
        <f t="shared" si="1"/>
        <v>Passed QC</v>
      </c>
    </row>
    <row r="31" spans="1:15">
      <c r="A31" s="25" t="s">
        <v>62</v>
      </c>
      <c r="B31" s="8" t="s">
        <v>40</v>
      </c>
      <c r="C31" s="8" t="s">
        <v>45</v>
      </c>
      <c r="D31" s="8">
        <v>45</v>
      </c>
      <c r="E31" s="9">
        <v>800</v>
      </c>
      <c r="F31" s="10">
        <v>0.18</v>
      </c>
      <c r="G31" s="9">
        <v>42480</v>
      </c>
      <c r="H31" s="11">
        <f t="shared" si="2"/>
        <v>36000</v>
      </c>
      <c r="I31" s="7">
        <f t="shared" si="3"/>
        <v>6480</v>
      </c>
      <c r="J31" s="7">
        <f t="shared" si="4"/>
        <v>42480</v>
      </c>
      <c r="K31" s="7">
        <f t="shared" si="5"/>
        <v>0</v>
      </c>
      <c r="L31" s="8" t="str">
        <f t="shared" si="6"/>
        <v>Verified</v>
      </c>
      <c r="M31" s="8" t="str">
        <f t="shared" si="7"/>
        <v>Complete</v>
      </c>
      <c r="N31" s="39" t="str">
        <f t="shared" si="0"/>
        <v>Unique</v>
      </c>
      <c r="O31" s="8" t="str">
        <f t="shared" si="1"/>
        <v>Passed QC</v>
      </c>
    </row>
    <row r="32" spans="1:15">
      <c r="A32" s="25"/>
      <c r="B32" s="8" t="s">
        <v>24</v>
      </c>
      <c r="D32" s="8">
        <v>49</v>
      </c>
      <c r="E32" s="9">
        <v>25</v>
      </c>
      <c r="F32" s="10">
        <v>0.12</v>
      </c>
      <c r="G32" s="9">
        <v>1372</v>
      </c>
      <c r="H32" s="11">
        <f t="shared" si="2"/>
        <v>1225</v>
      </c>
      <c r="I32" s="7">
        <f t="shared" si="3"/>
        <v>147</v>
      </c>
      <c r="J32" s="7">
        <f t="shared" si="4"/>
        <v>1372</v>
      </c>
      <c r="K32" s="7">
        <f t="shared" si="5"/>
        <v>0</v>
      </c>
      <c r="L32" s="8" t="str">
        <f t="shared" si="6"/>
        <v>Verified</v>
      </c>
      <c r="M32" s="8" t="str">
        <f t="shared" si="7"/>
        <v>Review Required</v>
      </c>
      <c r="N32" s="39" t="str">
        <f t="shared" si="0"/>
        <v>Missing Invoice ID</v>
      </c>
      <c r="O32" s="8" t="str">
        <f t="shared" si="1"/>
        <v>Missing Invoice ID</v>
      </c>
    </row>
    <row r="33" spans="1:15">
      <c r="A33" s="25" t="s">
        <v>63</v>
      </c>
      <c r="B33" s="8" t="s">
        <v>14</v>
      </c>
      <c r="C33" s="8" t="s">
        <v>12</v>
      </c>
      <c r="D33" s="8">
        <v>10</v>
      </c>
      <c r="E33" s="9">
        <v>1800</v>
      </c>
      <c r="F33" s="10">
        <v>0.18</v>
      </c>
      <c r="G33" s="9">
        <v>21240</v>
      </c>
      <c r="H33" s="11">
        <f t="shared" si="2"/>
        <v>18000</v>
      </c>
      <c r="I33" s="7">
        <f t="shared" si="3"/>
        <v>3240</v>
      </c>
      <c r="J33" s="7">
        <f t="shared" si="4"/>
        <v>21240</v>
      </c>
      <c r="K33" s="7">
        <f t="shared" si="5"/>
        <v>0</v>
      </c>
      <c r="L33" s="8" t="str">
        <f t="shared" si="6"/>
        <v>Verified</v>
      </c>
      <c r="M33" s="8" t="str">
        <f t="shared" si="7"/>
        <v>Complete</v>
      </c>
      <c r="N33" s="39" t="str">
        <f t="shared" si="0"/>
        <v>Unique</v>
      </c>
      <c r="O33" s="8" t="str">
        <f t="shared" si="1"/>
        <v>Passed QC</v>
      </c>
    </row>
    <row r="34" spans="1:15">
      <c r="A34" s="25" t="s">
        <v>64</v>
      </c>
      <c r="B34" s="8" t="s">
        <v>21</v>
      </c>
      <c r="C34" s="8" t="s">
        <v>45</v>
      </c>
      <c r="D34" s="8">
        <v>21</v>
      </c>
      <c r="E34" s="9">
        <v>800</v>
      </c>
      <c r="F34" s="10">
        <v>0.18</v>
      </c>
      <c r="G34" s="9">
        <v>19824</v>
      </c>
      <c r="H34" s="11">
        <f t="shared" si="2"/>
        <v>16800</v>
      </c>
      <c r="I34" s="7">
        <f t="shared" si="3"/>
        <v>3024</v>
      </c>
      <c r="J34" s="7">
        <f t="shared" si="4"/>
        <v>19824</v>
      </c>
      <c r="K34" s="7">
        <f t="shared" si="5"/>
        <v>0</v>
      </c>
      <c r="L34" s="8" t="str">
        <f t="shared" si="6"/>
        <v>Verified</v>
      </c>
      <c r="M34" s="8" t="str">
        <f t="shared" si="7"/>
        <v>Complete</v>
      </c>
      <c r="N34" s="39" t="str">
        <f t="shared" ref="N34:N65" si="8">IF(A34="","Missing Invoice ID",IF(COUNTIF($A$2:$A$151,A34)&gt;1,"Duplicate","Unique"))</f>
        <v>Unique</v>
      </c>
      <c r="O34" s="8" t="str">
        <f t="shared" ref="O34:O65" si="9">IF(OR(A34="",N34="Missing Invoice ID"),"Missing Invoice ID",IF(N34="Duplicate","Duplicate - Investigate",IF(M34="Review Required","Incomplete - Review",IF(L34="Discrepancy","Amount Mismatch","Passed QC"))))</f>
        <v>Passed QC</v>
      </c>
    </row>
    <row r="35" spans="1:15">
      <c r="A35" s="25" t="s">
        <v>65</v>
      </c>
      <c r="B35" s="8" t="s">
        <v>11</v>
      </c>
      <c r="C35" s="8" t="s">
        <v>36</v>
      </c>
      <c r="D35" s="8">
        <v>6</v>
      </c>
      <c r="E35" s="9">
        <v>35</v>
      </c>
      <c r="F35" s="10">
        <v>0.12</v>
      </c>
      <c r="G35" s="9">
        <v>235.2</v>
      </c>
      <c r="H35" s="11">
        <f t="shared" si="2"/>
        <v>210</v>
      </c>
      <c r="I35" s="7">
        <f t="shared" si="3"/>
        <v>25.2</v>
      </c>
      <c r="J35" s="7">
        <f t="shared" si="4"/>
        <v>235.2</v>
      </c>
      <c r="K35" s="7">
        <f t="shared" si="5"/>
        <v>0</v>
      </c>
      <c r="L35" s="8" t="str">
        <f t="shared" si="6"/>
        <v>Verified</v>
      </c>
      <c r="M35" s="8" t="str">
        <f t="shared" si="7"/>
        <v>Complete</v>
      </c>
      <c r="N35" s="39" t="str">
        <f t="shared" si="8"/>
        <v>Unique</v>
      </c>
      <c r="O35" s="8" t="str">
        <f t="shared" si="9"/>
        <v>Passed QC</v>
      </c>
    </row>
    <row r="36" spans="1:15">
      <c r="A36" s="25" t="s">
        <v>66</v>
      </c>
      <c r="B36" s="8" t="s">
        <v>67</v>
      </c>
      <c r="C36" s="8" t="s">
        <v>59</v>
      </c>
      <c r="D36" s="8">
        <v>37</v>
      </c>
      <c r="E36" s="9">
        <v>550</v>
      </c>
      <c r="F36" s="10">
        <v>0.18</v>
      </c>
      <c r="G36" s="9">
        <v>24013</v>
      </c>
      <c r="H36" s="11">
        <f t="shared" si="2"/>
        <v>20350</v>
      </c>
      <c r="I36" s="7">
        <f t="shared" si="3"/>
        <v>3663</v>
      </c>
      <c r="J36" s="7">
        <f t="shared" si="4"/>
        <v>24013</v>
      </c>
      <c r="K36" s="7">
        <f t="shared" si="5"/>
        <v>0</v>
      </c>
      <c r="L36" s="8" t="str">
        <f t="shared" si="6"/>
        <v>Verified</v>
      </c>
      <c r="M36" s="8" t="str">
        <f t="shared" si="7"/>
        <v>Complete</v>
      </c>
      <c r="N36" s="39" t="str">
        <f t="shared" si="8"/>
        <v>Unique</v>
      </c>
      <c r="O36" s="8" t="str">
        <f t="shared" si="9"/>
        <v>Passed QC</v>
      </c>
    </row>
    <row r="37" spans="1:15">
      <c r="A37" s="25" t="s">
        <v>68</v>
      </c>
      <c r="B37" s="8" t="s">
        <v>11</v>
      </c>
      <c r="C37" s="8" t="s">
        <v>12</v>
      </c>
      <c r="D37" s="8">
        <v>5</v>
      </c>
      <c r="E37" s="9">
        <v>1800</v>
      </c>
      <c r="F37" s="10">
        <v>0.18</v>
      </c>
      <c r="G37" s="9">
        <v>10720</v>
      </c>
      <c r="H37" s="11">
        <f t="shared" si="2"/>
        <v>9000</v>
      </c>
      <c r="I37" s="7">
        <f t="shared" si="3"/>
        <v>1620</v>
      </c>
      <c r="J37" s="7">
        <f t="shared" si="4"/>
        <v>10620</v>
      </c>
      <c r="K37" s="7">
        <f t="shared" si="5"/>
        <v>100</v>
      </c>
      <c r="L37" s="8" t="str">
        <f t="shared" si="6"/>
        <v>Discrepancy</v>
      </c>
      <c r="M37" s="8" t="str">
        <f t="shared" si="7"/>
        <v>Complete</v>
      </c>
      <c r="N37" s="39" t="str">
        <f t="shared" si="8"/>
        <v>Unique</v>
      </c>
      <c r="O37" s="8" t="str">
        <f t="shared" si="9"/>
        <v>Amount Mismatch</v>
      </c>
    </row>
    <row r="38" spans="1:15">
      <c r="A38" s="25" t="s">
        <v>69</v>
      </c>
      <c r="B38" s="8" t="s">
        <v>33</v>
      </c>
      <c r="C38" s="8" t="s">
        <v>19</v>
      </c>
      <c r="D38" s="8">
        <v>7</v>
      </c>
      <c r="E38" s="9">
        <v>1200</v>
      </c>
      <c r="F38" s="10">
        <v>0.18</v>
      </c>
      <c r="G38" s="9">
        <v>9912</v>
      </c>
      <c r="H38" s="11">
        <f t="shared" si="2"/>
        <v>8400</v>
      </c>
      <c r="I38" s="7">
        <f t="shared" si="3"/>
        <v>1512</v>
      </c>
      <c r="J38" s="7">
        <f t="shared" si="4"/>
        <v>9912</v>
      </c>
      <c r="K38" s="7">
        <f t="shared" si="5"/>
        <v>0</v>
      </c>
      <c r="L38" s="8" t="str">
        <f t="shared" si="6"/>
        <v>Verified</v>
      </c>
      <c r="M38" s="8" t="str">
        <f t="shared" si="7"/>
        <v>Complete</v>
      </c>
      <c r="N38" s="39" t="str">
        <f t="shared" si="8"/>
        <v>Unique</v>
      </c>
      <c r="O38" s="8" t="str">
        <f t="shared" si="9"/>
        <v>Passed QC</v>
      </c>
    </row>
    <row r="39" spans="1:15">
      <c r="A39" s="25" t="s">
        <v>70</v>
      </c>
      <c r="B39" s="8" t="s">
        <v>33</v>
      </c>
      <c r="C39" s="8" t="s">
        <v>45</v>
      </c>
      <c r="D39" s="8">
        <v>18</v>
      </c>
      <c r="E39" s="9">
        <v>800</v>
      </c>
      <c r="F39" s="10">
        <v>0.18</v>
      </c>
      <c r="G39" s="9">
        <v>16992</v>
      </c>
      <c r="H39" s="11">
        <f t="shared" si="2"/>
        <v>14400</v>
      </c>
      <c r="I39" s="7">
        <f t="shared" si="3"/>
        <v>2592</v>
      </c>
      <c r="J39" s="7">
        <f t="shared" si="4"/>
        <v>16992</v>
      </c>
      <c r="K39" s="7">
        <f t="shared" si="5"/>
        <v>0</v>
      </c>
      <c r="L39" s="8" t="str">
        <f t="shared" si="6"/>
        <v>Verified</v>
      </c>
      <c r="M39" s="8" t="str">
        <f t="shared" si="7"/>
        <v>Complete</v>
      </c>
      <c r="N39" s="39" t="str">
        <f t="shared" si="8"/>
        <v>Unique</v>
      </c>
      <c r="O39" s="8" t="str">
        <f t="shared" si="9"/>
        <v>Passed QC</v>
      </c>
    </row>
    <row r="40" spans="1:15">
      <c r="A40" s="25" t="s">
        <v>71</v>
      </c>
      <c r="B40" s="8" t="s">
        <v>40</v>
      </c>
      <c r="C40" s="8" t="s">
        <v>9</v>
      </c>
      <c r="D40" s="8">
        <v>29</v>
      </c>
      <c r="E40" s="9">
        <v>25</v>
      </c>
      <c r="F40" s="10">
        <v>0.12</v>
      </c>
      <c r="G40" s="9">
        <v>812</v>
      </c>
      <c r="H40" s="11">
        <f t="shared" si="2"/>
        <v>725</v>
      </c>
      <c r="I40" s="7">
        <f t="shared" si="3"/>
        <v>87</v>
      </c>
      <c r="J40" s="7">
        <f t="shared" si="4"/>
        <v>812</v>
      </c>
      <c r="K40" s="7">
        <f t="shared" si="5"/>
        <v>0</v>
      </c>
      <c r="L40" s="8" t="str">
        <f t="shared" si="6"/>
        <v>Verified</v>
      </c>
      <c r="M40" s="8" t="str">
        <f t="shared" si="7"/>
        <v>Complete</v>
      </c>
      <c r="N40" s="39" t="str">
        <f t="shared" si="8"/>
        <v>Unique</v>
      </c>
      <c r="O40" s="8" t="str">
        <f t="shared" si="9"/>
        <v>Passed QC</v>
      </c>
    </row>
    <row r="41" spans="1:15">
      <c r="A41" s="25" t="s">
        <v>72</v>
      </c>
      <c r="B41" s="8" t="s">
        <v>21</v>
      </c>
      <c r="C41" s="8" t="s">
        <v>73</v>
      </c>
      <c r="D41" s="8">
        <v>22</v>
      </c>
      <c r="E41" s="9">
        <v>650</v>
      </c>
      <c r="F41" s="10">
        <v>0.18</v>
      </c>
      <c r="G41" s="9">
        <v>16874</v>
      </c>
      <c r="H41" s="11">
        <f t="shared" si="2"/>
        <v>14300</v>
      </c>
      <c r="I41" s="7">
        <f t="shared" si="3"/>
        <v>2574</v>
      </c>
      <c r="J41" s="7">
        <f t="shared" si="4"/>
        <v>16874</v>
      </c>
      <c r="K41" s="7">
        <f t="shared" si="5"/>
        <v>0</v>
      </c>
      <c r="L41" s="8" t="str">
        <f t="shared" si="6"/>
        <v>Verified</v>
      </c>
      <c r="M41" s="8" t="str">
        <f t="shared" si="7"/>
        <v>Complete</v>
      </c>
      <c r="N41" s="39" t="str">
        <f t="shared" si="8"/>
        <v>Unique</v>
      </c>
      <c r="O41" s="8" t="str">
        <f t="shared" si="9"/>
        <v>Passed QC</v>
      </c>
    </row>
    <row r="42" spans="1:15">
      <c r="A42" s="25" t="s">
        <v>74</v>
      </c>
      <c r="B42" s="8" t="s">
        <v>16</v>
      </c>
      <c r="C42" s="8" t="s">
        <v>75</v>
      </c>
      <c r="D42" s="8">
        <v>19</v>
      </c>
      <c r="E42" s="9">
        <v>10</v>
      </c>
      <c r="F42" s="10">
        <v>0.18</v>
      </c>
      <c r="G42" s="9">
        <v>224.2</v>
      </c>
      <c r="H42" s="11">
        <f t="shared" si="2"/>
        <v>190</v>
      </c>
      <c r="I42" s="7">
        <f t="shared" si="3"/>
        <v>34.199999999999996</v>
      </c>
      <c r="J42" s="7">
        <f t="shared" si="4"/>
        <v>224.2</v>
      </c>
      <c r="K42" s="7">
        <f t="shared" si="5"/>
        <v>0</v>
      </c>
      <c r="L42" s="8" t="str">
        <f t="shared" si="6"/>
        <v>Verified</v>
      </c>
      <c r="M42" s="8" t="str">
        <f t="shared" si="7"/>
        <v>Complete</v>
      </c>
      <c r="N42" s="39" t="str">
        <f t="shared" si="8"/>
        <v>Unique</v>
      </c>
      <c r="O42" s="8" t="str">
        <f t="shared" si="9"/>
        <v>Passed QC</v>
      </c>
    </row>
    <row r="43" spans="1:15">
      <c r="A43" s="25" t="s">
        <v>76</v>
      </c>
      <c r="C43" s="8" t="s">
        <v>55</v>
      </c>
      <c r="D43" s="8">
        <v>2</v>
      </c>
      <c r="E43" s="9">
        <v>2500</v>
      </c>
      <c r="F43" s="10">
        <v>0.18</v>
      </c>
      <c r="G43" s="9">
        <v>5900</v>
      </c>
      <c r="H43" s="11">
        <f t="shared" si="2"/>
        <v>5000</v>
      </c>
      <c r="I43" s="7">
        <f t="shared" si="3"/>
        <v>900</v>
      </c>
      <c r="J43" s="7">
        <f t="shared" si="4"/>
        <v>5900</v>
      </c>
      <c r="K43" s="7">
        <f t="shared" si="5"/>
        <v>0</v>
      </c>
      <c r="L43" s="8" t="str">
        <f t="shared" si="6"/>
        <v>Verified</v>
      </c>
      <c r="M43" s="8" t="str">
        <f t="shared" si="7"/>
        <v>Review Required</v>
      </c>
      <c r="N43" s="39" t="str">
        <f t="shared" si="8"/>
        <v>Unique</v>
      </c>
      <c r="O43" s="8" t="str">
        <f t="shared" si="9"/>
        <v>Incomplete - Review</v>
      </c>
    </row>
    <row r="44" spans="1:15">
      <c r="A44" s="25" t="s">
        <v>77</v>
      </c>
      <c r="B44" s="8" t="s">
        <v>29</v>
      </c>
      <c r="C44" s="8" t="s">
        <v>61</v>
      </c>
      <c r="D44" s="8">
        <v>31</v>
      </c>
      <c r="E44" s="9">
        <v>7200</v>
      </c>
      <c r="F44" s="10">
        <v>0.18</v>
      </c>
      <c r="G44" s="9">
        <v>263376</v>
      </c>
      <c r="H44" s="11">
        <f t="shared" si="2"/>
        <v>223200</v>
      </c>
      <c r="I44" s="7">
        <f t="shared" si="3"/>
        <v>40176</v>
      </c>
      <c r="J44" s="7">
        <f t="shared" si="4"/>
        <v>263376</v>
      </c>
      <c r="K44" s="7">
        <f t="shared" si="5"/>
        <v>0</v>
      </c>
      <c r="L44" s="8" t="str">
        <f t="shared" si="6"/>
        <v>Verified</v>
      </c>
      <c r="M44" s="8" t="str">
        <f t="shared" si="7"/>
        <v>Complete</v>
      </c>
      <c r="N44" s="39" t="str">
        <f t="shared" si="8"/>
        <v>Unique</v>
      </c>
      <c r="O44" s="8" t="str">
        <f t="shared" si="9"/>
        <v>Passed QC</v>
      </c>
    </row>
    <row r="45" spans="1:15">
      <c r="A45" s="25" t="s">
        <v>78</v>
      </c>
      <c r="B45" s="8" t="s">
        <v>8</v>
      </c>
      <c r="C45" s="8" t="s">
        <v>57</v>
      </c>
      <c r="D45" s="8">
        <v>23</v>
      </c>
      <c r="E45" s="9">
        <v>40</v>
      </c>
      <c r="F45" s="10">
        <v>0.12</v>
      </c>
      <c r="G45" s="9">
        <v>1030.4000000000001</v>
      </c>
      <c r="H45" s="11">
        <f t="shared" si="2"/>
        <v>920</v>
      </c>
      <c r="I45" s="7">
        <f t="shared" si="3"/>
        <v>110.39999999999999</v>
      </c>
      <c r="J45" s="7">
        <f t="shared" si="4"/>
        <v>1030.4000000000001</v>
      </c>
      <c r="K45" s="7">
        <f t="shared" si="5"/>
        <v>0</v>
      </c>
      <c r="L45" s="8" t="str">
        <f t="shared" si="6"/>
        <v>Verified</v>
      </c>
      <c r="M45" s="8" t="str">
        <f t="shared" si="7"/>
        <v>Complete</v>
      </c>
      <c r="N45" s="39" t="str">
        <f t="shared" si="8"/>
        <v>Unique</v>
      </c>
      <c r="O45" s="8" t="str">
        <f t="shared" si="9"/>
        <v>Passed QC</v>
      </c>
    </row>
    <row r="46" spans="1:15">
      <c r="A46" s="25" t="s">
        <v>79</v>
      </c>
      <c r="B46" s="8" t="s">
        <v>16</v>
      </c>
      <c r="C46" s="8" t="s">
        <v>22</v>
      </c>
      <c r="D46" s="8">
        <v>32</v>
      </c>
      <c r="E46" s="9">
        <v>5000</v>
      </c>
      <c r="F46" s="10">
        <v>0.18</v>
      </c>
      <c r="G46" s="9">
        <v>188800</v>
      </c>
      <c r="H46" s="11">
        <f t="shared" si="2"/>
        <v>160000</v>
      </c>
      <c r="I46" s="7">
        <f t="shared" si="3"/>
        <v>28800</v>
      </c>
      <c r="J46" s="7">
        <f t="shared" si="4"/>
        <v>188800</v>
      </c>
      <c r="K46" s="7">
        <f t="shared" si="5"/>
        <v>0</v>
      </c>
      <c r="L46" s="8" t="str">
        <f t="shared" si="6"/>
        <v>Verified</v>
      </c>
      <c r="M46" s="8" t="str">
        <f t="shared" si="7"/>
        <v>Complete</v>
      </c>
      <c r="N46" s="39" t="str">
        <f t="shared" si="8"/>
        <v>Duplicate</v>
      </c>
      <c r="O46" s="8" t="str">
        <f t="shared" si="9"/>
        <v>Duplicate - Investigate</v>
      </c>
    </row>
    <row r="47" spans="1:15">
      <c r="A47" s="25" t="s">
        <v>79</v>
      </c>
      <c r="B47" s="8" t="s">
        <v>16</v>
      </c>
      <c r="C47" s="8" t="s">
        <v>59</v>
      </c>
      <c r="D47" s="8">
        <v>39</v>
      </c>
      <c r="E47" s="9">
        <v>550</v>
      </c>
      <c r="F47" s="10">
        <v>0.18</v>
      </c>
      <c r="G47" s="9">
        <v>25311</v>
      </c>
      <c r="H47" s="11">
        <f t="shared" si="2"/>
        <v>21450</v>
      </c>
      <c r="I47" s="7">
        <f t="shared" si="3"/>
        <v>3861</v>
      </c>
      <c r="J47" s="7">
        <f t="shared" si="4"/>
        <v>25311</v>
      </c>
      <c r="K47" s="7">
        <f t="shared" si="5"/>
        <v>0</v>
      </c>
      <c r="L47" s="8" t="str">
        <f t="shared" si="6"/>
        <v>Verified</v>
      </c>
      <c r="M47" s="8" t="str">
        <f t="shared" si="7"/>
        <v>Complete</v>
      </c>
      <c r="N47" s="39" t="str">
        <f t="shared" si="8"/>
        <v>Duplicate</v>
      </c>
      <c r="O47" s="8" t="str">
        <f t="shared" si="9"/>
        <v>Duplicate - Investigate</v>
      </c>
    </row>
    <row r="48" spans="1:15">
      <c r="A48" s="25" t="s">
        <v>81</v>
      </c>
      <c r="B48" s="8" t="s">
        <v>14</v>
      </c>
      <c r="C48" s="8" t="s">
        <v>19</v>
      </c>
      <c r="D48" s="8">
        <v>23</v>
      </c>
      <c r="E48" s="9">
        <v>1200</v>
      </c>
      <c r="F48" s="10">
        <v>0.18</v>
      </c>
      <c r="G48" s="9">
        <v>32618</v>
      </c>
      <c r="H48" s="11">
        <f t="shared" si="2"/>
        <v>27600</v>
      </c>
      <c r="I48" s="7">
        <f t="shared" si="3"/>
        <v>4968</v>
      </c>
      <c r="J48" s="7">
        <f t="shared" si="4"/>
        <v>32568</v>
      </c>
      <c r="K48" s="7">
        <f t="shared" si="5"/>
        <v>50</v>
      </c>
      <c r="L48" s="8" t="str">
        <f t="shared" si="6"/>
        <v>Discrepancy</v>
      </c>
      <c r="M48" s="8" t="str">
        <f t="shared" si="7"/>
        <v>Complete</v>
      </c>
      <c r="N48" s="39" t="str">
        <f t="shared" si="8"/>
        <v>Unique</v>
      </c>
      <c r="O48" s="8" t="str">
        <f t="shared" si="9"/>
        <v>Amount Mismatch</v>
      </c>
    </row>
    <row r="49" spans="1:15">
      <c r="A49" s="25" t="s">
        <v>82</v>
      </c>
      <c r="B49" s="8" t="s">
        <v>24</v>
      </c>
      <c r="C49" s="8" t="s">
        <v>17</v>
      </c>
      <c r="D49" s="8">
        <v>24</v>
      </c>
      <c r="E49" s="9">
        <v>150</v>
      </c>
      <c r="F49" s="10">
        <v>0.12</v>
      </c>
      <c r="G49" s="9">
        <v>4032</v>
      </c>
      <c r="H49" s="11">
        <f t="shared" si="2"/>
        <v>3600</v>
      </c>
      <c r="I49" s="7">
        <f t="shared" si="3"/>
        <v>432</v>
      </c>
      <c r="J49" s="7">
        <f t="shared" si="4"/>
        <v>4032</v>
      </c>
      <c r="K49" s="7">
        <f t="shared" si="5"/>
        <v>0</v>
      </c>
      <c r="L49" s="8" t="str">
        <f t="shared" si="6"/>
        <v>Verified</v>
      </c>
      <c r="M49" s="8" t="str">
        <f t="shared" si="7"/>
        <v>Complete</v>
      </c>
      <c r="N49" s="39" t="str">
        <f t="shared" si="8"/>
        <v>Unique</v>
      </c>
      <c r="O49" s="8" t="str">
        <f t="shared" si="9"/>
        <v>Passed QC</v>
      </c>
    </row>
    <row r="50" spans="1:15">
      <c r="A50" s="25" t="s">
        <v>83</v>
      </c>
      <c r="B50" s="8" t="s">
        <v>11</v>
      </c>
      <c r="C50" s="8" t="s">
        <v>36</v>
      </c>
      <c r="D50" s="8">
        <v>27</v>
      </c>
      <c r="E50" s="9">
        <v>35</v>
      </c>
      <c r="F50" s="10">
        <v>0.12</v>
      </c>
      <c r="G50" s="9">
        <v>1058.4000000000001</v>
      </c>
      <c r="H50" s="11">
        <f t="shared" si="2"/>
        <v>945</v>
      </c>
      <c r="I50" s="7">
        <f t="shared" si="3"/>
        <v>113.39999999999999</v>
      </c>
      <c r="J50" s="7">
        <f t="shared" si="4"/>
        <v>1058.4000000000001</v>
      </c>
      <c r="K50" s="7">
        <f t="shared" si="5"/>
        <v>0</v>
      </c>
      <c r="L50" s="8" t="str">
        <f t="shared" si="6"/>
        <v>Verified</v>
      </c>
      <c r="M50" s="8" t="str">
        <f t="shared" si="7"/>
        <v>Complete</v>
      </c>
      <c r="N50" s="39" t="str">
        <f t="shared" si="8"/>
        <v>Unique</v>
      </c>
      <c r="O50" s="8" t="str">
        <f t="shared" si="9"/>
        <v>Passed QC</v>
      </c>
    </row>
    <row r="51" spans="1:15">
      <c r="A51" s="25" t="s">
        <v>84</v>
      </c>
      <c r="B51" s="8" t="s">
        <v>67</v>
      </c>
      <c r="C51" s="8" t="s">
        <v>28</v>
      </c>
      <c r="D51" s="8">
        <v>35</v>
      </c>
      <c r="E51" s="9">
        <v>500</v>
      </c>
      <c r="F51" s="10">
        <v>0.18</v>
      </c>
      <c r="G51" s="9">
        <v>20650</v>
      </c>
      <c r="H51" s="11">
        <f t="shared" si="2"/>
        <v>17500</v>
      </c>
      <c r="I51" s="7">
        <f t="shared" si="3"/>
        <v>3150</v>
      </c>
      <c r="J51" s="7">
        <f t="shared" si="4"/>
        <v>20650</v>
      </c>
      <c r="K51" s="7">
        <f t="shared" si="5"/>
        <v>0</v>
      </c>
      <c r="L51" s="8" t="str">
        <f t="shared" si="6"/>
        <v>Verified</v>
      </c>
      <c r="M51" s="8" t="str">
        <f t="shared" si="7"/>
        <v>Complete</v>
      </c>
      <c r="N51" s="39" t="str">
        <f t="shared" si="8"/>
        <v>Duplicate</v>
      </c>
      <c r="O51" s="8" t="str">
        <f t="shared" si="9"/>
        <v>Duplicate - Investigate</v>
      </c>
    </row>
    <row r="52" spans="1:15">
      <c r="A52" s="25" t="s">
        <v>84</v>
      </c>
      <c r="B52" s="8" t="s">
        <v>21</v>
      </c>
      <c r="C52" s="8" t="s">
        <v>9</v>
      </c>
      <c r="D52" s="8">
        <v>11</v>
      </c>
      <c r="E52" s="9">
        <v>25</v>
      </c>
      <c r="F52" s="10">
        <v>0.12</v>
      </c>
      <c r="G52" s="9">
        <v>308</v>
      </c>
      <c r="H52" s="11">
        <f t="shared" si="2"/>
        <v>275</v>
      </c>
      <c r="I52" s="7">
        <f t="shared" si="3"/>
        <v>33</v>
      </c>
      <c r="J52" s="7">
        <f t="shared" si="4"/>
        <v>308</v>
      </c>
      <c r="K52" s="7">
        <f t="shared" si="5"/>
        <v>0</v>
      </c>
      <c r="L52" s="8" t="str">
        <f t="shared" si="6"/>
        <v>Verified</v>
      </c>
      <c r="M52" s="8" t="str">
        <f t="shared" si="7"/>
        <v>Complete</v>
      </c>
      <c r="N52" s="39" t="str">
        <f t="shared" si="8"/>
        <v>Duplicate</v>
      </c>
      <c r="O52" s="8" t="str">
        <f t="shared" si="9"/>
        <v>Duplicate - Investigate</v>
      </c>
    </row>
    <row r="53" spans="1:15">
      <c r="A53" s="25" t="s">
        <v>86</v>
      </c>
      <c r="B53" s="8" t="s">
        <v>21</v>
      </c>
      <c r="C53" s="8" t="s">
        <v>45</v>
      </c>
      <c r="D53" s="8">
        <v>23</v>
      </c>
      <c r="E53" s="9">
        <v>800</v>
      </c>
      <c r="F53" s="10">
        <v>0.18</v>
      </c>
      <c r="G53" s="9">
        <v>21712</v>
      </c>
      <c r="H53" s="11">
        <f t="shared" si="2"/>
        <v>18400</v>
      </c>
      <c r="I53" s="7">
        <f t="shared" si="3"/>
        <v>3312</v>
      </c>
      <c r="J53" s="7">
        <f t="shared" si="4"/>
        <v>21712</v>
      </c>
      <c r="K53" s="7">
        <f t="shared" si="5"/>
        <v>0</v>
      </c>
      <c r="L53" s="8" t="str">
        <f t="shared" si="6"/>
        <v>Verified</v>
      </c>
      <c r="M53" s="8" t="str">
        <f t="shared" si="7"/>
        <v>Complete</v>
      </c>
      <c r="N53" s="39" t="str">
        <f t="shared" si="8"/>
        <v>Unique</v>
      </c>
      <c r="O53" s="8" t="str">
        <f t="shared" si="9"/>
        <v>Passed QC</v>
      </c>
    </row>
    <row r="54" spans="1:15">
      <c r="A54" s="25" t="s">
        <v>87</v>
      </c>
      <c r="B54" s="8" t="s">
        <v>21</v>
      </c>
      <c r="C54" s="8" t="s">
        <v>42</v>
      </c>
      <c r="D54" s="8">
        <v>3</v>
      </c>
      <c r="E54" s="9">
        <v>450</v>
      </c>
      <c r="F54" s="10">
        <v>0.18</v>
      </c>
      <c r="G54" s="9">
        <v>1593</v>
      </c>
      <c r="H54" s="11">
        <f t="shared" si="2"/>
        <v>1350</v>
      </c>
      <c r="I54" s="7">
        <f t="shared" si="3"/>
        <v>243</v>
      </c>
      <c r="J54" s="7">
        <f t="shared" si="4"/>
        <v>1593</v>
      </c>
      <c r="K54" s="7">
        <f t="shared" si="5"/>
        <v>0</v>
      </c>
      <c r="L54" s="8" t="str">
        <f t="shared" si="6"/>
        <v>Verified</v>
      </c>
      <c r="M54" s="8" t="str">
        <f t="shared" si="7"/>
        <v>Complete</v>
      </c>
      <c r="N54" s="39" t="str">
        <f t="shared" si="8"/>
        <v>Unique</v>
      </c>
      <c r="O54" s="8" t="str">
        <f t="shared" si="9"/>
        <v>Passed QC</v>
      </c>
    </row>
    <row r="55" spans="1:15">
      <c r="A55" s="25" t="s">
        <v>88</v>
      </c>
      <c r="B55" s="8" t="s">
        <v>40</v>
      </c>
      <c r="C55" s="8" t="s">
        <v>9</v>
      </c>
      <c r="D55" s="8">
        <v>45</v>
      </c>
      <c r="E55" s="9">
        <v>25</v>
      </c>
      <c r="F55" s="10">
        <v>0.12</v>
      </c>
      <c r="G55" s="9">
        <v>1260</v>
      </c>
      <c r="H55" s="11">
        <f t="shared" si="2"/>
        <v>1125</v>
      </c>
      <c r="I55" s="7">
        <f t="shared" si="3"/>
        <v>135</v>
      </c>
      <c r="J55" s="7">
        <f t="shared" si="4"/>
        <v>1260</v>
      </c>
      <c r="K55" s="7">
        <f t="shared" si="5"/>
        <v>0</v>
      </c>
      <c r="L55" s="8" t="str">
        <f t="shared" si="6"/>
        <v>Verified</v>
      </c>
      <c r="M55" s="8" t="str">
        <f t="shared" si="7"/>
        <v>Complete</v>
      </c>
      <c r="N55" s="39" t="str">
        <f t="shared" si="8"/>
        <v>Unique</v>
      </c>
      <c r="O55" s="8" t="str">
        <f t="shared" si="9"/>
        <v>Passed QC</v>
      </c>
    </row>
    <row r="56" spans="1:15">
      <c r="A56" s="25" t="s">
        <v>89</v>
      </c>
      <c r="B56" s="8" t="s">
        <v>11</v>
      </c>
      <c r="C56" s="8" t="s">
        <v>73</v>
      </c>
      <c r="D56" s="8">
        <v>44</v>
      </c>
      <c r="E56" s="9">
        <v>650</v>
      </c>
      <c r="F56" s="10">
        <v>0.18</v>
      </c>
      <c r="G56" s="9">
        <v>33748</v>
      </c>
      <c r="H56" s="11">
        <f t="shared" si="2"/>
        <v>28600</v>
      </c>
      <c r="I56" s="7">
        <f t="shared" si="3"/>
        <v>5148</v>
      </c>
      <c r="J56" s="7">
        <f t="shared" si="4"/>
        <v>33748</v>
      </c>
      <c r="K56" s="7">
        <f t="shared" si="5"/>
        <v>0</v>
      </c>
      <c r="L56" s="8" t="str">
        <f t="shared" si="6"/>
        <v>Verified</v>
      </c>
      <c r="M56" s="8" t="str">
        <f t="shared" si="7"/>
        <v>Complete</v>
      </c>
      <c r="N56" s="39" t="str">
        <f t="shared" si="8"/>
        <v>Unique</v>
      </c>
      <c r="O56" s="8" t="str">
        <f t="shared" si="9"/>
        <v>Passed QC</v>
      </c>
    </row>
    <row r="57" spans="1:15">
      <c r="A57" s="25" t="s">
        <v>90</v>
      </c>
      <c r="B57" s="8" t="s">
        <v>14</v>
      </c>
      <c r="C57" s="8" t="s">
        <v>9</v>
      </c>
      <c r="D57" s="8">
        <v>10</v>
      </c>
      <c r="E57" s="9">
        <v>25</v>
      </c>
      <c r="F57" s="10">
        <v>0.12</v>
      </c>
      <c r="G57" s="9">
        <v>280</v>
      </c>
      <c r="H57" s="11">
        <f t="shared" si="2"/>
        <v>250</v>
      </c>
      <c r="I57" s="7">
        <f t="shared" si="3"/>
        <v>30</v>
      </c>
      <c r="J57" s="7">
        <f t="shared" si="4"/>
        <v>280</v>
      </c>
      <c r="K57" s="7">
        <f t="shared" si="5"/>
        <v>0</v>
      </c>
      <c r="L57" s="8" t="str">
        <f t="shared" si="6"/>
        <v>Verified</v>
      </c>
      <c r="M57" s="8" t="str">
        <f t="shared" si="7"/>
        <v>Complete</v>
      </c>
      <c r="N57" s="39" t="str">
        <f t="shared" si="8"/>
        <v>Unique</v>
      </c>
      <c r="O57" s="8" t="str">
        <f t="shared" si="9"/>
        <v>Passed QC</v>
      </c>
    </row>
    <row r="58" spans="1:15">
      <c r="A58" s="25" t="s">
        <v>91</v>
      </c>
      <c r="B58" s="8" t="s">
        <v>40</v>
      </c>
      <c r="C58" s="8" t="s">
        <v>59</v>
      </c>
      <c r="D58" s="8">
        <v>37</v>
      </c>
      <c r="E58" s="9">
        <v>550</v>
      </c>
      <c r="F58" s="10">
        <v>0.18</v>
      </c>
      <c r="G58" s="9">
        <v>24013</v>
      </c>
      <c r="H58" s="11">
        <f t="shared" si="2"/>
        <v>20350</v>
      </c>
      <c r="I58" s="7">
        <f t="shared" si="3"/>
        <v>3663</v>
      </c>
      <c r="J58" s="7">
        <f t="shared" si="4"/>
        <v>24013</v>
      </c>
      <c r="K58" s="7">
        <f t="shared" si="5"/>
        <v>0</v>
      </c>
      <c r="L58" s="8" t="str">
        <f t="shared" si="6"/>
        <v>Verified</v>
      </c>
      <c r="M58" s="8" t="str">
        <f t="shared" si="7"/>
        <v>Complete</v>
      </c>
      <c r="N58" s="39" t="str">
        <f t="shared" si="8"/>
        <v>Unique</v>
      </c>
      <c r="O58" s="8" t="str">
        <f t="shared" si="9"/>
        <v>Passed QC</v>
      </c>
    </row>
    <row r="59" spans="1:15">
      <c r="A59" s="25" t="s">
        <v>92</v>
      </c>
      <c r="B59" s="8" t="s">
        <v>11</v>
      </c>
      <c r="C59" s="8" t="s">
        <v>17</v>
      </c>
      <c r="D59" s="8">
        <v>45</v>
      </c>
      <c r="E59" s="9">
        <v>150</v>
      </c>
      <c r="F59" s="10">
        <v>0.12</v>
      </c>
      <c r="G59" s="9">
        <v>7810</v>
      </c>
      <c r="H59" s="11">
        <f t="shared" si="2"/>
        <v>6750</v>
      </c>
      <c r="I59" s="7">
        <f t="shared" si="3"/>
        <v>810</v>
      </c>
      <c r="J59" s="7">
        <f t="shared" si="4"/>
        <v>7560</v>
      </c>
      <c r="K59" s="7">
        <f t="shared" si="5"/>
        <v>250</v>
      </c>
      <c r="L59" s="8" t="str">
        <f t="shared" si="6"/>
        <v>Discrepancy</v>
      </c>
      <c r="M59" s="8" t="str">
        <f t="shared" si="7"/>
        <v>Complete</v>
      </c>
      <c r="N59" s="39" t="str">
        <f t="shared" si="8"/>
        <v>Unique</v>
      </c>
      <c r="O59" s="8" t="str">
        <f t="shared" si="9"/>
        <v>Amount Mismatch</v>
      </c>
    </row>
    <row r="60" spans="1:15">
      <c r="A60" s="25" t="s">
        <v>93</v>
      </c>
      <c r="B60" s="8" t="s">
        <v>33</v>
      </c>
      <c r="C60" s="8" t="s">
        <v>28</v>
      </c>
      <c r="D60" s="8">
        <v>29</v>
      </c>
      <c r="E60" s="9">
        <v>500</v>
      </c>
      <c r="F60" s="10">
        <v>0.18</v>
      </c>
      <c r="G60" s="9">
        <v>17110</v>
      </c>
      <c r="H60" s="11">
        <f t="shared" si="2"/>
        <v>14500</v>
      </c>
      <c r="I60" s="7">
        <f t="shared" si="3"/>
        <v>2610</v>
      </c>
      <c r="J60" s="7">
        <f t="shared" si="4"/>
        <v>17110</v>
      </c>
      <c r="K60" s="7">
        <f t="shared" si="5"/>
        <v>0</v>
      </c>
      <c r="L60" s="8" t="str">
        <f t="shared" si="6"/>
        <v>Verified</v>
      </c>
      <c r="M60" s="8" t="str">
        <f t="shared" si="7"/>
        <v>Complete</v>
      </c>
      <c r="N60" s="39" t="str">
        <f t="shared" si="8"/>
        <v>Unique</v>
      </c>
      <c r="O60" s="8" t="str">
        <f t="shared" si="9"/>
        <v>Passed QC</v>
      </c>
    </row>
    <row r="61" spans="1:15">
      <c r="A61" s="25" t="s">
        <v>94</v>
      </c>
      <c r="B61" s="8" t="s">
        <v>16</v>
      </c>
      <c r="C61" s="8" t="s">
        <v>12</v>
      </c>
      <c r="D61" s="8">
        <v>21</v>
      </c>
      <c r="E61" s="9">
        <v>1800</v>
      </c>
      <c r="F61" s="10">
        <v>0.18</v>
      </c>
      <c r="G61" s="9">
        <v>44604</v>
      </c>
      <c r="H61" s="11">
        <f t="shared" si="2"/>
        <v>37800</v>
      </c>
      <c r="I61" s="7">
        <f t="shared" si="3"/>
        <v>6804</v>
      </c>
      <c r="J61" s="7">
        <f t="shared" si="4"/>
        <v>44604</v>
      </c>
      <c r="K61" s="7">
        <f t="shared" si="5"/>
        <v>0</v>
      </c>
      <c r="L61" s="8" t="str">
        <f t="shared" si="6"/>
        <v>Verified</v>
      </c>
      <c r="M61" s="8" t="str">
        <f t="shared" si="7"/>
        <v>Complete</v>
      </c>
      <c r="N61" s="39" t="str">
        <f t="shared" si="8"/>
        <v>Unique</v>
      </c>
      <c r="O61" s="8" t="str">
        <f t="shared" si="9"/>
        <v>Passed QC</v>
      </c>
    </row>
    <row r="62" spans="1:15">
      <c r="A62" s="25" t="s">
        <v>95</v>
      </c>
      <c r="B62" s="8" t="s">
        <v>67</v>
      </c>
      <c r="C62" s="8" t="s">
        <v>28</v>
      </c>
      <c r="D62" s="8">
        <v>5</v>
      </c>
      <c r="E62" s="9">
        <v>500</v>
      </c>
      <c r="F62" s="10">
        <v>0.18</v>
      </c>
      <c r="G62" s="9">
        <v>2950</v>
      </c>
      <c r="H62" s="11">
        <f t="shared" si="2"/>
        <v>2500</v>
      </c>
      <c r="I62" s="7">
        <f t="shared" si="3"/>
        <v>450</v>
      </c>
      <c r="J62" s="7">
        <f t="shared" si="4"/>
        <v>2950</v>
      </c>
      <c r="K62" s="7">
        <f t="shared" si="5"/>
        <v>0</v>
      </c>
      <c r="L62" s="8" t="str">
        <f t="shared" si="6"/>
        <v>Verified</v>
      </c>
      <c r="M62" s="8" t="str">
        <f t="shared" si="7"/>
        <v>Complete</v>
      </c>
      <c r="N62" s="39" t="str">
        <f t="shared" si="8"/>
        <v>Unique</v>
      </c>
      <c r="O62" s="8" t="str">
        <f t="shared" si="9"/>
        <v>Passed QC</v>
      </c>
    </row>
    <row r="63" spans="1:15">
      <c r="A63" s="25" t="s">
        <v>96</v>
      </c>
      <c r="B63" s="8" t="s">
        <v>8</v>
      </c>
      <c r="C63" s="8" t="s">
        <v>19</v>
      </c>
      <c r="D63" s="8">
        <v>49</v>
      </c>
      <c r="E63" s="9">
        <v>1200</v>
      </c>
      <c r="F63" s="10">
        <v>0.18</v>
      </c>
      <c r="G63" s="9">
        <v>69384</v>
      </c>
      <c r="H63" s="11">
        <f t="shared" si="2"/>
        <v>58800</v>
      </c>
      <c r="I63" s="7">
        <f t="shared" si="3"/>
        <v>10584</v>
      </c>
      <c r="J63" s="7">
        <f t="shared" si="4"/>
        <v>69384</v>
      </c>
      <c r="K63" s="7">
        <f t="shared" si="5"/>
        <v>0</v>
      </c>
      <c r="L63" s="8" t="str">
        <f t="shared" si="6"/>
        <v>Verified</v>
      </c>
      <c r="M63" s="8" t="str">
        <f t="shared" si="7"/>
        <v>Complete</v>
      </c>
      <c r="N63" s="39" t="str">
        <f t="shared" si="8"/>
        <v>Unique</v>
      </c>
      <c r="O63" s="8" t="str">
        <f t="shared" si="9"/>
        <v>Passed QC</v>
      </c>
    </row>
    <row r="64" spans="1:15">
      <c r="A64" s="25" t="s">
        <v>97</v>
      </c>
      <c r="B64" s="8" t="s">
        <v>40</v>
      </c>
      <c r="C64" s="8" t="s">
        <v>12</v>
      </c>
      <c r="D64" s="8">
        <v>44</v>
      </c>
      <c r="E64" s="9">
        <v>1800</v>
      </c>
      <c r="F64" s="10">
        <v>0.18</v>
      </c>
      <c r="G64" s="9">
        <v>93456</v>
      </c>
      <c r="H64" s="11">
        <f t="shared" si="2"/>
        <v>79200</v>
      </c>
      <c r="I64" s="7">
        <f t="shared" si="3"/>
        <v>14256</v>
      </c>
      <c r="J64" s="7">
        <f t="shared" si="4"/>
        <v>93456</v>
      </c>
      <c r="K64" s="7">
        <f t="shared" si="5"/>
        <v>0</v>
      </c>
      <c r="L64" s="8" t="str">
        <f t="shared" si="6"/>
        <v>Verified</v>
      </c>
      <c r="M64" s="8" t="str">
        <f t="shared" si="7"/>
        <v>Complete</v>
      </c>
      <c r="N64" s="39" t="str">
        <f t="shared" si="8"/>
        <v>Unique</v>
      </c>
      <c r="O64" s="8" t="str">
        <f t="shared" si="9"/>
        <v>Passed QC</v>
      </c>
    </row>
    <row r="65" spans="1:15">
      <c r="A65" s="25" t="s">
        <v>98</v>
      </c>
      <c r="B65" s="8" t="s">
        <v>67</v>
      </c>
      <c r="C65" s="8" t="s">
        <v>22</v>
      </c>
      <c r="D65" s="8">
        <v>0</v>
      </c>
      <c r="E65" s="9">
        <v>5000</v>
      </c>
      <c r="F65" s="10">
        <v>0.18</v>
      </c>
      <c r="G65" s="9">
        <v>218300</v>
      </c>
      <c r="H65" s="11">
        <f t="shared" si="2"/>
        <v>0</v>
      </c>
      <c r="I65" s="7">
        <f t="shared" si="3"/>
        <v>0</v>
      </c>
      <c r="J65" s="7">
        <f t="shared" si="4"/>
        <v>0</v>
      </c>
      <c r="K65" s="7">
        <f t="shared" si="5"/>
        <v>218300</v>
      </c>
      <c r="L65" s="8" t="str">
        <f t="shared" si="6"/>
        <v>Discrepancy</v>
      </c>
      <c r="M65" s="8" t="str">
        <f t="shared" si="7"/>
        <v>Review Required</v>
      </c>
      <c r="N65" s="39" t="str">
        <f t="shared" si="8"/>
        <v>Unique</v>
      </c>
      <c r="O65" s="8" t="str">
        <f t="shared" si="9"/>
        <v>Incomplete - Review</v>
      </c>
    </row>
    <row r="66" spans="1:15">
      <c r="A66" s="25" t="s">
        <v>99</v>
      </c>
      <c r="B66" s="8" t="s">
        <v>16</v>
      </c>
      <c r="C66" s="8" t="s">
        <v>57</v>
      </c>
      <c r="D66" s="8">
        <v>31</v>
      </c>
      <c r="E66" s="9">
        <v>40</v>
      </c>
      <c r="F66" s="10">
        <v>0.12</v>
      </c>
      <c r="G66" s="9">
        <v>1388.8</v>
      </c>
      <c r="H66" s="11">
        <f t="shared" si="2"/>
        <v>1240</v>
      </c>
      <c r="I66" s="7">
        <f t="shared" si="3"/>
        <v>148.79999999999998</v>
      </c>
      <c r="J66" s="7">
        <f t="shared" si="4"/>
        <v>1388.8</v>
      </c>
      <c r="K66" s="7">
        <f t="shared" si="5"/>
        <v>0</v>
      </c>
      <c r="L66" s="8" t="str">
        <f t="shared" si="6"/>
        <v>Verified</v>
      </c>
      <c r="M66" s="8" t="str">
        <f t="shared" si="7"/>
        <v>Complete</v>
      </c>
      <c r="N66" s="39" t="str">
        <f t="shared" ref="N66:N97" si="10">IF(A66="","Missing Invoice ID",IF(COUNTIF($A$2:$A$151,A66)&gt;1,"Duplicate","Unique"))</f>
        <v>Unique</v>
      </c>
      <c r="O66" s="8" t="str">
        <f t="shared" ref="O66:O97" si="11">IF(OR(A66="",N66="Missing Invoice ID"),"Missing Invoice ID",IF(N66="Duplicate","Duplicate - Investigate",IF(M66="Review Required","Incomplete - Review",IF(L66="Discrepancy","Amount Mismatch","Passed QC"))))</f>
        <v>Passed QC</v>
      </c>
    </row>
    <row r="67" spans="1:15">
      <c r="A67" s="25" t="s">
        <v>26</v>
      </c>
      <c r="B67" s="8" t="s">
        <v>8</v>
      </c>
      <c r="C67" s="8" t="s">
        <v>57</v>
      </c>
      <c r="D67" s="8">
        <v>2</v>
      </c>
      <c r="E67" s="9">
        <v>40</v>
      </c>
      <c r="F67" s="10">
        <v>0.12</v>
      </c>
      <c r="G67" s="9">
        <v>89.6</v>
      </c>
      <c r="H67" s="11">
        <f t="shared" ref="H67:H130" si="12">D67*E67</f>
        <v>80</v>
      </c>
      <c r="I67" s="7">
        <f t="shared" ref="I67:I130" si="13">H67*F67</f>
        <v>9.6</v>
      </c>
      <c r="J67" s="7">
        <f t="shared" ref="J67:J130" si="14">H67+I67</f>
        <v>89.6</v>
      </c>
      <c r="K67" s="7">
        <f t="shared" ref="K67:K130" si="15">G67-J67</f>
        <v>0</v>
      </c>
      <c r="L67" s="8" t="str">
        <f t="shared" ref="L67:L130" si="16">IF(K67=0,"Verified","Discrepancy")</f>
        <v>Verified</v>
      </c>
      <c r="M67" s="8" t="str">
        <f t="shared" ref="M67:M130" si="17">IF(OR(A67="",B67="",C67="",D67&lt;=0,E67&lt;=0),"Review Required","Complete")</f>
        <v>Complete</v>
      </c>
      <c r="N67" s="39" t="str">
        <f t="shared" si="10"/>
        <v>Duplicate</v>
      </c>
      <c r="O67" s="8" t="str">
        <f t="shared" si="11"/>
        <v>Duplicate - Investigate</v>
      </c>
    </row>
    <row r="68" spans="1:15">
      <c r="A68" s="25" t="s">
        <v>101</v>
      </c>
      <c r="B68" s="8" t="s">
        <v>29</v>
      </c>
      <c r="C68" s="8" t="s">
        <v>12</v>
      </c>
      <c r="D68" s="8">
        <v>44</v>
      </c>
      <c r="E68" s="9">
        <v>1800</v>
      </c>
      <c r="F68" s="10">
        <v>0.18</v>
      </c>
      <c r="G68" s="9">
        <v>93456</v>
      </c>
      <c r="H68" s="11">
        <f t="shared" si="12"/>
        <v>79200</v>
      </c>
      <c r="I68" s="7">
        <f t="shared" si="13"/>
        <v>14256</v>
      </c>
      <c r="J68" s="7">
        <f t="shared" si="14"/>
        <v>93456</v>
      </c>
      <c r="K68" s="7">
        <f t="shared" si="15"/>
        <v>0</v>
      </c>
      <c r="L68" s="8" t="str">
        <f t="shared" si="16"/>
        <v>Verified</v>
      </c>
      <c r="M68" s="8" t="str">
        <f t="shared" si="17"/>
        <v>Complete</v>
      </c>
      <c r="N68" s="39" t="str">
        <f t="shared" si="10"/>
        <v>Unique</v>
      </c>
      <c r="O68" s="8" t="str">
        <f t="shared" si="11"/>
        <v>Passed QC</v>
      </c>
    </row>
    <row r="69" spans="1:15">
      <c r="A69" s="25" t="s">
        <v>102</v>
      </c>
      <c r="B69" s="8" t="s">
        <v>33</v>
      </c>
      <c r="C69" s="8" t="s">
        <v>61</v>
      </c>
      <c r="D69" s="8">
        <v>11</v>
      </c>
      <c r="E69" s="9">
        <v>7200</v>
      </c>
      <c r="F69" s="10">
        <v>0.18</v>
      </c>
      <c r="G69" s="9">
        <v>93456</v>
      </c>
      <c r="H69" s="11">
        <f t="shared" si="12"/>
        <v>79200</v>
      </c>
      <c r="I69" s="7">
        <f t="shared" si="13"/>
        <v>14256</v>
      </c>
      <c r="J69" s="7">
        <f t="shared" si="14"/>
        <v>93456</v>
      </c>
      <c r="K69" s="7">
        <f t="shared" si="15"/>
        <v>0</v>
      </c>
      <c r="L69" s="8" t="str">
        <f t="shared" si="16"/>
        <v>Verified</v>
      </c>
      <c r="M69" s="8" t="str">
        <f t="shared" si="17"/>
        <v>Complete</v>
      </c>
      <c r="N69" s="39" t="str">
        <f t="shared" si="10"/>
        <v>Unique</v>
      </c>
      <c r="O69" s="8" t="str">
        <f t="shared" si="11"/>
        <v>Passed QC</v>
      </c>
    </row>
    <row r="70" spans="1:15">
      <c r="A70" s="25" t="s">
        <v>103</v>
      </c>
      <c r="B70" s="8" t="s">
        <v>40</v>
      </c>
      <c r="C70" s="8" t="s">
        <v>57</v>
      </c>
      <c r="D70" s="8">
        <v>4</v>
      </c>
      <c r="E70" s="9">
        <v>40</v>
      </c>
      <c r="F70" s="10">
        <v>0.12</v>
      </c>
      <c r="G70" s="9">
        <v>429.2</v>
      </c>
      <c r="H70" s="11">
        <f t="shared" si="12"/>
        <v>160</v>
      </c>
      <c r="I70" s="7">
        <f t="shared" si="13"/>
        <v>19.2</v>
      </c>
      <c r="J70" s="7">
        <f t="shared" si="14"/>
        <v>179.2</v>
      </c>
      <c r="K70" s="7">
        <f t="shared" si="15"/>
        <v>250</v>
      </c>
      <c r="L70" s="8" t="str">
        <f t="shared" si="16"/>
        <v>Discrepancy</v>
      </c>
      <c r="M70" s="8" t="str">
        <f t="shared" si="17"/>
        <v>Complete</v>
      </c>
      <c r="N70" s="39" t="str">
        <f t="shared" si="10"/>
        <v>Unique</v>
      </c>
      <c r="O70" s="8" t="str">
        <f t="shared" si="11"/>
        <v>Amount Mismatch</v>
      </c>
    </row>
    <row r="71" spans="1:15">
      <c r="A71" s="25" t="s">
        <v>104</v>
      </c>
      <c r="B71" s="8" t="s">
        <v>8</v>
      </c>
      <c r="C71" s="8" t="s">
        <v>75</v>
      </c>
      <c r="D71" s="8">
        <v>46</v>
      </c>
      <c r="E71" s="9">
        <v>10</v>
      </c>
      <c r="F71" s="10">
        <v>0.18</v>
      </c>
      <c r="G71" s="9">
        <v>542.79999999999995</v>
      </c>
      <c r="H71" s="11">
        <f t="shared" si="12"/>
        <v>460</v>
      </c>
      <c r="I71" s="7">
        <f t="shared" si="13"/>
        <v>82.8</v>
      </c>
      <c r="J71" s="7">
        <f t="shared" si="14"/>
        <v>542.79999999999995</v>
      </c>
      <c r="K71" s="7">
        <f t="shared" si="15"/>
        <v>0</v>
      </c>
      <c r="L71" s="8" t="str">
        <f t="shared" si="16"/>
        <v>Verified</v>
      </c>
      <c r="M71" s="8" t="str">
        <f t="shared" si="17"/>
        <v>Complete</v>
      </c>
      <c r="N71" s="39" t="str">
        <f t="shared" si="10"/>
        <v>Unique</v>
      </c>
      <c r="O71" s="8" t="str">
        <f t="shared" si="11"/>
        <v>Passed QC</v>
      </c>
    </row>
    <row r="72" spans="1:15">
      <c r="A72" s="25" t="s">
        <v>105</v>
      </c>
      <c r="B72" s="8" t="s">
        <v>21</v>
      </c>
      <c r="C72" s="8" t="s">
        <v>61</v>
      </c>
      <c r="D72" s="8">
        <v>30</v>
      </c>
      <c r="E72" s="9">
        <v>7200</v>
      </c>
      <c r="F72" s="10">
        <v>0.18</v>
      </c>
      <c r="G72" s="9">
        <v>254880</v>
      </c>
      <c r="H72" s="11">
        <f t="shared" si="12"/>
        <v>216000</v>
      </c>
      <c r="I72" s="7">
        <f t="shared" si="13"/>
        <v>38880</v>
      </c>
      <c r="J72" s="7">
        <f t="shared" si="14"/>
        <v>254880</v>
      </c>
      <c r="K72" s="7">
        <f t="shared" si="15"/>
        <v>0</v>
      </c>
      <c r="L72" s="8" t="str">
        <f t="shared" si="16"/>
        <v>Verified</v>
      </c>
      <c r="M72" s="8" t="str">
        <f t="shared" si="17"/>
        <v>Complete</v>
      </c>
      <c r="N72" s="39" t="str">
        <f t="shared" si="10"/>
        <v>Unique</v>
      </c>
      <c r="O72" s="8" t="str">
        <f t="shared" si="11"/>
        <v>Passed QC</v>
      </c>
    </row>
    <row r="73" spans="1:15">
      <c r="A73" s="25" t="s">
        <v>106</v>
      </c>
      <c r="B73" s="8" t="s">
        <v>11</v>
      </c>
      <c r="D73" s="8">
        <v>48</v>
      </c>
      <c r="E73" s="9">
        <v>650</v>
      </c>
      <c r="F73" s="10">
        <v>0.18</v>
      </c>
      <c r="G73" s="9">
        <v>36816</v>
      </c>
      <c r="H73" s="11">
        <f t="shared" si="12"/>
        <v>31200</v>
      </c>
      <c r="I73" s="7">
        <f t="shared" si="13"/>
        <v>5616</v>
      </c>
      <c r="J73" s="7">
        <f t="shared" si="14"/>
        <v>36816</v>
      </c>
      <c r="K73" s="7">
        <f t="shared" si="15"/>
        <v>0</v>
      </c>
      <c r="L73" s="8" t="str">
        <f t="shared" si="16"/>
        <v>Verified</v>
      </c>
      <c r="M73" s="8" t="str">
        <f t="shared" si="17"/>
        <v>Review Required</v>
      </c>
      <c r="N73" s="39" t="str">
        <f t="shared" si="10"/>
        <v>Unique</v>
      </c>
      <c r="O73" s="8" t="str">
        <f t="shared" si="11"/>
        <v>Incomplete - Review</v>
      </c>
    </row>
    <row r="74" spans="1:15">
      <c r="A74" s="25" t="s">
        <v>107</v>
      </c>
      <c r="B74" s="8" t="s">
        <v>21</v>
      </c>
      <c r="C74" s="8" t="s">
        <v>45</v>
      </c>
      <c r="D74" s="8">
        <v>32</v>
      </c>
      <c r="E74" s="9">
        <v>800</v>
      </c>
      <c r="F74" s="10">
        <v>0.18</v>
      </c>
      <c r="G74" s="9">
        <v>30208</v>
      </c>
      <c r="H74" s="11">
        <f t="shared" si="12"/>
        <v>25600</v>
      </c>
      <c r="I74" s="7">
        <f t="shared" si="13"/>
        <v>4608</v>
      </c>
      <c r="J74" s="7">
        <f t="shared" si="14"/>
        <v>30208</v>
      </c>
      <c r="K74" s="7">
        <f t="shared" si="15"/>
        <v>0</v>
      </c>
      <c r="L74" s="8" t="str">
        <f t="shared" si="16"/>
        <v>Verified</v>
      </c>
      <c r="M74" s="8" t="str">
        <f t="shared" si="17"/>
        <v>Complete</v>
      </c>
      <c r="N74" s="39" t="str">
        <f t="shared" si="10"/>
        <v>Unique</v>
      </c>
      <c r="O74" s="8" t="str">
        <f t="shared" si="11"/>
        <v>Passed QC</v>
      </c>
    </row>
    <row r="75" spans="1:15">
      <c r="A75" s="25" t="s">
        <v>108</v>
      </c>
      <c r="B75" s="8" t="s">
        <v>29</v>
      </c>
      <c r="C75" s="8" t="s">
        <v>75</v>
      </c>
      <c r="D75" s="8">
        <v>18</v>
      </c>
      <c r="E75" s="9">
        <v>10</v>
      </c>
      <c r="F75" s="10">
        <v>0.18</v>
      </c>
      <c r="G75" s="9">
        <v>212.4</v>
      </c>
      <c r="H75" s="11">
        <f t="shared" si="12"/>
        <v>180</v>
      </c>
      <c r="I75" s="7">
        <f t="shared" si="13"/>
        <v>32.4</v>
      </c>
      <c r="J75" s="7">
        <f t="shared" si="14"/>
        <v>212.4</v>
      </c>
      <c r="K75" s="7">
        <f t="shared" si="15"/>
        <v>0</v>
      </c>
      <c r="L75" s="8" t="str">
        <f t="shared" si="16"/>
        <v>Verified</v>
      </c>
      <c r="M75" s="8" t="str">
        <f t="shared" si="17"/>
        <v>Complete</v>
      </c>
      <c r="N75" s="39" t="str">
        <f t="shared" si="10"/>
        <v>Unique</v>
      </c>
      <c r="O75" s="8" t="str">
        <f t="shared" si="11"/>
        <v>Passed QC</v>
      </c>
    </row>
    <row r="76" spans="1:15">
      <c r="A76" s="25" t="s">
        <v>109</v>
      </c>
      <c r="B76" s="8" t="s">
        <v>67</v>
      </c>
      <c r="C76" s="8" t="s">
        <v>28</v>
      </c>
      <c r="D76" s="8">
        <v>24</v>
      </c>
      <c r="E76" s="9">
        <v>500</v>
      </c>
      <c r="F76" s="10">
        <v>0.18</v>
      </c>
      <c r="G76" s="9">
        <v>14160</v>
      </c>
      <c r="H76" s="11">
        <f t="shared" si="12"/>
        <v>12000</v>
      </c>
      <c r="I76" s="7">
        <f t="shared" si="13"/>
        <v>2160</v>
      </c>
      <c r="J76" s="7">
        <f t="shared" si="14"/>
        <v>14160</v>
      </c>
      <c r="K76" s="7">
        <f t="shared" si="15"/>
        <v>0</v>
      </c>
      <c r="L76" s="8" t="str">
        <f t="shared" si="16"/>
        <v>Verified</v>
      </c>
      <c r="M76" s="8" t="str">
        <f t="shared" si="17"/>
        <v>Complete</v>
      </c>
      <c r="N76" s="39" t="str">
        <f t="shared" si="10"/>
        <v>Unique</v>
      </c>
      <c r="O76" s="8" t="str">
        <f t="shared" si="11"/>
        <v>Passed QC</v>
      </c>
    </row>
    <row r="77" spans="1:15">
      <c r="A77" s="25" t="s">
        <v>110</v>
      </c>
      <c r="B77" s="8" t="s">
        <v>16</v>
      </c>
      <c r="C77" s="8" t="s">
        <v>59</v>
      </c>
      <c r="D77" s="8">
        <v>8</v>
      </c>
      <c r="E77" s="9">
        <v>550</v>
      </c>
      <c r="F77" s="10">
        <v>0.18</v>
      </c>
      <c r="G77" s="9">
        <v>5192</v>
      </c>
      <c r="H77" s="11">
        <f t="shared" si="12"/>
        <v>4400</v>
      </c>
      <c r="I77" s="7">
        <f t="shared" si="13"/>
        <v>792</v>
      </c>
      <c r="J77" s="7">
        <f t="shared" si="14"/>
        <v>5192</v>
      </c>
      <c r="K77" s="7">
        <f t="shared" si="15"/>
        <v>0</v>
      </c>
      <c r="L77" s="8" t="str">
        <f t="shared" si="16"/>
        <v>Verified</v>
      </c>
      <c r="M77" s="8" t="str">
        <f t="shared" si="17"/>
        <v>Complete</v>
      </c>
      <c r="N77" s="39" t="str">
        <f t="shared" si="10"/>
        <v>Unique</v>
      </c>
      <c r="O77" s="8" t="str">
        <f t="shared" si="11"/>
        <v>Passed QC</v>
      </c>
    </row>
    <row r="78" spans="1:15">
      <c r="A78" s="25" t="s">
        <v>111</v>
      </c>
      <c r="B78" s="8" t="s">
        <v>16</v>
      </c>
      <c r="C78" s="8" t="s">
        <v>9</v>
      </c>
      <c r="D78" s="8">
        <v>43</v>
      </c>
      <c r="E78" s="9">
        <v>25</v>
      </c>
      <c r="F78" s="10">
        <v>0.12</v>
      </c>
      <c r="G78" s="9">
        <v>1304</v>
      </c>
      <c r="H78" s="11">
        <f t="shared" si="12"/>
        <v>1075</v>
      </c>
      <c r="I78" s="7">
        <f t="shared" si="13"/>
        <v>129</v>
      </c>
      <c r="J78" s="7">
        <f t="shared" si="14"/>
        <v>1204</v>
      </c>
      <c r="K78" s="7">
        <f t="shared" si="15"/>
        <v>100</v>
      </c>
      <c r="L78" s="8" t="str">
        <f t="shared" si="16"/>
        <v>Discrepancy</v>
      </c>
      <c r="M78" s="8" t="str">
        <f t="shared" si="17"/>
        <v>Complete</v>
      </c>
      <c r="N78" s="39" t="str">
        <f t="shared" si="10"/>
        <v>Unique</v>
      </c>
      <c r="O78" s="8" t="str">
        <f t="shared" si="11"/>
        <v>Amount Mismatch</v>
      </c>
    </row>
    <row r="79" spans="1:15">
      <c r="A79" s="25" t="s">
        <v>112</v>
      </c>
      <c r="B79" s="8" t="s">
        <v>24</v>
      </c>
      <c r="C79" s="8" t="s">
        <v>50</v>
      </c>
      <c r="D79" s="8">
        <v>44</v>
      </c>
      <c r="E79" s="9">
        <v>60</v>
      </c>
      <c r="F79" s="10">
        <v>0.12</v>
      </c>
      <c r="G79" s="9">
        <v>2956.8</v>
      </c>
      <c r="H79" s="11">
        <f t="shared" si="12"/>
        <v>2640</v>
      </c>
      <c r="I79" s="7">
        <f t="shared" si="13"/>
        <v>316.8</v>
      </c>
      <c r="J79" s="7">
        <f t="shared" si="14"/>
        <v>2956.8</v>
      </c>
      <c r="K79" s="7">
        <f t="shared" si="15"/>
        <v>0</v>
      </c>
      <c r="L79" s="8" t="str">
        <f t="shared" si="16"/>
        <v>Verified</v>
      </c>
      <c r="M79" s="8" t="str">
        <f t="shared" si="17"/>
        <v>Complete</v>
      </c>
      <c r="N79" s="39" t="str">
        <f t="shared" si="10"/>
        <v>Unique</v>
      </c>
      <c r="O79" s="8" t="str">
        <f t="shared" si="11"/>
        <v>Passed QC</v>
      </c>
    </row>
    <row r="80" spans="1:15">
      <c r="A80" s="25" t="s">
        <v>113</v>
      </c>
      <c r="B80" s="8" t="s">
        <v>16</v>
      </c>
      <c r="C80" s="8" t="s">
        <v>12</v>
      </c>
      <c r="D80" s="8">
        <v>10</v>
      </c>
      <c r="E80" s="9">
        <v>1800</v>
      </c>
      <c r="F80" s="10">
        <v>0.18</v>
      </c>
      <c r="G80" s="9">
        <v>21240</v>
      </c>
      <c r="H80" s="11">
        <f t="shared" si="12"/>
        <v>18000</v>
      </c>
      <c r="I80" s="7">
        <f t="shared" si="13"/>
        <v>3240</v>
      </c>
      <c r="J80" s="7">
        <f t="shared" si="14"/>
        <v>21240</v>
      </c>
      <c r="K80" s="7">
        <f t="shared" si="15"/>
        <v>0</v>
      </c>
      <c r="L80" s="8" t="str">
        <f t="shared" si="16"/>
        <v>Verified</v>
      </c>
      <c r="M80" s="8" t="str">
        <f t="shared" si="17"/>
        <v>Complete</v>
      </c>
      <c r="N80" s="39" t="str">
        <f t="shared" si="10"/>
        <v>Unique</v>
      </c>
      <c r="O80" s="8" t="str">
        <f t="shared" si="11"/>
        <v>Passed QC</v>
      </c>
    </row>
    <row r="81" spans="1:15">
      <c r="A81" s="25" t="s">
        <v>114</v>
      </c>
      <c r="B81" s="8" t="s">
        <v>67</v>
      </c>
      <c r="C81" s="8" t="s">
        <v>9</v>
      </c>
      <c r="D81" s="8">
        <v>35</v>
      </c>
      <c r="E81" s="9">
        <v>25</v>
      </c>
      <c r="F81" s="10">
        <v>0.12</v>
      </c>
      <c r="G81" s="9">
        <v>980</v>
      </c>
      <c r="H81" s="11">
        <f t="shared" si="12"/>
        <v>875</v>
      </c>
      <c r="I81" s="7">
        <f t="shared" si="13"/>
        <v>105</v>
      </c>
      <c r="J81" s="7">
        <f t="shared" si="14"/>
        <v>980</v>
      </c>
      <c r="K81" s="7">
        <f t="shared" si="15"/>
        <v>0</v>
      </c>
      <c r="L81" s="8" t="str">
        <f t="shared" si="16"/>
        <v>Verified</v>
      </c>
      <c r="M81" s="8" t="str">
        <f t="shared" si="17"/>
        <v>Complete</v>
      </c>
      <c r="N81" s="39" t="str">
        <f t="shared" si="10"/>
        <v>Unique</v>
      </c>
      <c r="O81" s="8" t="str">
        <f t="shared" si="11"/>
        <v>Passed QC</v>
      </c>
    </row>
    <row r="82" spans="1:15">
      <c r="A82" s="25" t="s">
        <v>115</v>
      </c>
      <c r="B82" s="8" t="s">
        <v>14</v>
      </c>
      <c r="C82" s="8" t="s">
        <v>28</v>
      </c>
      <c r="D82" s="8">
        <v>8</v>
      </c>
      <c r="E82" s="9">
        <v>500</v>
      </c>
      <c r="F82" s="10">
        <v>0.18</v>
      </c>
      <c r="G82" s="9">
        <v>4720</v>
      </c>
      <c r="H82" s="11">
        <f t="shared" si="12"/>
        <v>4000</v>
      </c>
      <c r="I82" s="7">
        <f t="shared" si="13"/>
        <v>720</v>
      </c>
      <c r="J82" s="7">
        <f t="shared" si="14"/>
        <v>4720</v>
      </c>
      <c r="K82" s="7">
        <f t="shared" si="15"/>
        <v>0</v>
      </c>
      <c r="L82" s="8" t="str">
        <f t="shared" si="16"/>
        <v>Verified</v>
      </c>
      <c r="M82" s="8" t="str">
        <f t="shared" si="17"/>
        <v>Complete</v>
      </c>
      <c r="N82" s="39" t="str">
        <f t="shared" si="10"/>
        <v>Unique</v>
      </c>
      <c r="O82" s="8" t="str">
        <f t="shared" si="11"/>
        <v>Passed QC</v>
      </c>
    </row>
    <row r="83" spans="1:15">
      <c r="A83" s="25" t="s">
        <v>116</v>
      </c>
      <c r="B83" s="8" t="s">
        <v>8</v>
      </c>
      <c r="C83" s="8" t="s">
        <v>73</v>
      </c>
      <c r="D83" s="8">
        <v>2</v>
      </c>
      <c r="E83" s="9">
        <v>650</v>
      </c>
      <c r="F83" s="10">
        <v>0.18</v>
      </c>
      <c r="G83" s="9">
        <v>1534</v>
      </c>
      <c r="H83" s="11">
        <f t="shared" si="12"/>
        <v>1300</v>
      </c>
      <c r="I83" s="7">
        <f t="shared" si="13"/>
        <v>234</v>
      </c>
      <c r="J83" s="7">
        <f t="shared" si="14"/>
        <v>1534</v>
      </c>
      <c r="K83" s="7">
        <f t="shared" si="15"/>
        <v>0</v>
      </c>
      <c r="L83" s="8" t="str">
        <f t="shared" si="16"/>
        <v>Verified</v>
      </c>
      <c r="M83" s="8" t="str">
        <f t="shared" si="17"/>
        <v>Complete</v>
      </c>
      <c r="N83" s="39" t="str">
        <f t="shared" si="10"/>
        <v>Unique</v>
      </c>
      <c r="O83" s="8" t="str">
        <f t="shared" si="11"/>
        <v>Passed QC</v>
      </c>
    </row>
    <row r="84" spans="1:15">
      <c r="A84" s="25" t="s">
        <v>117</v>
      </c>
      <c r="C84" s="8" t="s">
        <v>73</v>
      </c>
      <c r="D84" s="8">
        <v>10</v>
      </c>
      <c r="E84" s="9">
        <v>650</v>
      </c>
      <c r="F84" s="10">
        <v>0.18</v>
      </c>
      <c r="G84" s="9">
        <v>7670</v>
      </c>
      <c r="H84" s="11">
        <f t="shared" si="12"/>
        <v>6500</v>
      </c>
      <c r="I84" s="7">
        <f t="shared" si="13"/>
        <v>1170</v>
      </c>
      <c r="J84" s="7">
        <f t="shared" si="14"/>
        <v>7670</v>
      </c>
      <c r="K84" s="7">
        <f t="shared" si="15"/>
        <v>0</v>
      </c>
      <c r="L84" s="8" t="str">
        <f t="shared" si="16"/>
        <v>Verified</v>
      </c>
      <c r="M84" s="8" t="str">
        <f t="shared" si="17"/>
        <v>Review Required</v>
      </c>
      <c r="N84" s="39" t="str">
        <f t="shared" si="10"/>
        <v>Unique</v>
      </c>
      <c r="O84" s="8" t="str">
        <f t="shared" si="11"/>
        <v>Incomplete - Review</v>
      </c>
    </row>
    <row r="85" spans="1:15">
      <c r="A85" s="25" t="s">
        <v>118</v>
      </c>
      <c r="B85" s="8" t="s">
        <v>8</v>
      </c>
      <c r="C85" s="8" t="s">
        <v>52</v>
      </c>
      <c r="D85" s="8">
        <v>10</v>
      </c>
      <c r="E85" s="9">
        <v>2200</v>
      </c>
      <c r="F85" s="10">
        <v>0.18</v>
      </c>
      <c r="G85" s="9">
        <v>25960</v>
      </c>
      <c r="H85" s="11">
        <f t="shared" si="12"/>
        <v>22000</v>
      </c>
      <c r="I85" s="7">
        <f t="shared" si="13"/>
        <v>3960</v>
      </c>
      <c r="J85" s="7">
        <f t="shared" si="14"/>
        <v>25960</v>
      </c>
      <c r="K85" s="7">
        <f t="shared" si="15"/>
        <v>0</v>
      </c>
      <c r="L85" s="8" t="str">
        <f t="shared" si="16"/>
        <v>Verified</v>
      </c>
      <c r="M85" s="8" t="str">
        <f t="shared" si="17"/>
        <v>Complete</v>
      </c>
      <c r="N85" s="39" t="str">
        <f t="shared" si="10"/>
        <v>Unique</v>
      </c>
      <c r="O85" s="8" t="str">
        <f t="shared" si="11"/>
        <v>Passed QC</v>
      </c>
    </row>
    <row r="86" spans="1:15">
      <c r="A86" s="25" t="s">
        <v>119</v>
      </c>
      <c r="B86" s="8" t="s">
        <v>21</v>
      </c>
      <c r="C86" s="8" t="s">
        <v>75</v>
      </c>
      <c r="D86" s="8">
        <v>4</v>
      </c>
      <c r="E86" s="9">
        <v>10</v>
      </c>
      <c r="F86" s="10">
        <v>0.18</v>
      </c>
      <c r="G86" s="9">
        <v>47.2</v>
      </c>
      <c r="H86" s="11">
        <f t="shared" si="12"/>
        <v>40</v>
      </c>
      <c r="I86" s="7">
        <f t="shared" si="13"/>
        <v>7.1999999999999993</v>
      </c>
      <c r="J86" s="7">
        <f t="shared" si="14"/>
        <v>47.2</v>
      </c>
      <c r="K86" s="7">
        <f t="shared" si="15"/>
        <v>0</v>
      </c>
      <c r="L86" s="8" t="str">
        <f t="shared" si="16"/>
        <v>Verified</v>
      </c>
      <c r="M86" s="8" t="str">
        <f t="shared" si="17"/>
        <v>Complete</v>
      </c>
      <c r="N86" s="39" t="str">
        <f t="shared" si="10"/>
        <v>Unique</v>
      </c>
      <c r="O86" s="8" t="str">
        <f t="shared" si="11"/>
        <v>Passed QC</v>
      </c>
    </row>
    <row r="87" spans="1:15">
      <c r="A87" s="25" t="s">
        <v>120</v>
      </c>
      <c r="B87" s="8" t="s">
        <v>40</v>
      </c>
      <c r="C87" s="8" t="s">
        <v>61</v>
      </c>
      <c r="D87" s="8">
        <v>38</v>
      </c>
      <c r="E87" s="9">
        <v>7200</v>
      </c>
      <c r="F87" s="10">
        <v>0.18</v>
      </c>
      <c r="G87" s="9">
        <v>322848</v>
      </c>
      <c r="H87" s="11">
        <f t="shared" si="12"/>
        <v>273600</v>
      </c>
      <c r="I87" s="7">
        <f t="shared" si="13"/>
        <v>49248</v>
      </c>
      <c r="J87" s="7">
        <f t="shared" si="14"/>
        <v>322848</v>
      </c>
      <c r="K87" s="7">
        <f t="shared" si="15"/>
        <v>0</v>
      </c>
      <c r="L87" s="8" t="str">
        <f t="shared" si="16"/>
        <v>Verified</v>
      </c>
      <c r="M87" s="8" t="str">
        <f t="shared" si="17"/>
        <v>Complete</v>
      </c>
      <c r="N87" s="39" t="str">
        <f t="shared" si="10"/>
        <v>Unique</v>
      </c>
      <c r="O87" s="8" t="str">
        <f t="shared" si="11"/>
        <v>Passed QC</v>
      </c>
    </row>
    <row r="88" spans="1:15">
      <c r="A88" s="25" t="s">
        <v>121</v>
      </c>
      <c r="B88" s="8" t="s">
        <v>8</v>
      </c>
      <c r="C88" s="8" t="s">
        <v>61</v>
      </c>
      <c r="D88" s="8">
        <v>7</v>
      </c>
      <c r="E88" s="9">
        <v>7200</v>
      </c>
      <c r="F88" s="10">
        <v>0.18</v>
      </c>
      <c r="G88" s="9">
        <v>59472</v>
      </c>
      <c r="H88" s="11">
        <f t="shared" si="12"/>
        <v>50400</v>
      </c>
      <c r="I88" s="7">
        <f t="shared" si="13"/>
        <v>9072</v>
      </c>
      <c r="J88" s="7">
        <f t="shared" si="14"/>
        <v>59472</v>
      </c>
      <c r="K88" s="7">
        <f t="shared" si="15"/>
        <v>0</v>
      </c>
      <c r="L88" s="8" t="str">
        <f t="shared" si="16"/>
        <v>Verified</v>
      </c>
      <c r="M88" s="8" t="str">
        <f t="shared" si="17"/>
        <v>Complete</v>
      </c>
      <c r="N88" s="39" t="str">
        <f t="shared" si="10"/>
        <v>Unique</v>
      </c>
      <c r="O88" s="8" t="str">
        <f t="shared" si="11"/>
        <v>Passed QC</v>
      </c>
    </row>
    <row r="89" spans="1:15">
      <c r="A89" s="25" t="s">
        <v>122</v>
      </c>
      <c r="B89" s="8" t="s">
        <v>33</v>
      </c>
      <c r="C89" s="8" t="s">
        <v>36</v>
      </c>
      <c r="D89" s="8">
        <v>50</v>
      </c>
      <c r="E89" s="9">
        <v>35</v>
      </c>
      <c r="F89" s="10">
        <v>0.12</v>
      </c>
      <c r="G89" s="9">
        <v>2060</v>
      </c>
      <c r="H89" s="11">
        <f t="shared" si="12"/>
        <v>1750</v>
      </c>
      <c r="I89" s="7">
        <f t="shared" si="13"/>
        <v>210</v>
      </c>
      <c r="J89" s="7">
        <f t="shared" si="14"/>
        <v>1960</v>
      </c>
      <c r="K89" s="7">
        <f t="shared" si="15"/>
        <v>100</v>
      </c>
      <c r="L89" s="8" t="str">
        <f t="shared" si="16"/>
        <v>Discrepancy</v>
      </c>
      <c r="M89" s="8" t="str">
        <f t="shared" si="17"/>
        <v>Complete</v>
      </c>
      <c r="N89" s="39" t="str">
        <f t="shared" si="10"/>
        <v>Unique</v>
      </c>
      <c r="O89" s="8" t="str">
        <f t="shared" si="11"/>
        <v>Amount Mismatch</v>
      </c>
    </row>
    <row r="90" spans="1:15">
      <c r="A90" s="25" t="s">
        <v>123</v>
      </c>
      <c r="B90" s="8" t="s">
        <v>67</v>
      </c>
      <c r="C90" s="8" t="s">
        <v>75</v>
      </c>
      <c r="D90" s="8">
        <v>20</v>
      </c>
      <c r="E90" s="9">
        <v>10</v>
      </c>
      <c r="F90" s="10">
        <v>0.18</v>
      </c>
      <c r="G90" s="9">
        <v>236</v>
      </c>
      <c r="H90" s="11">
        <f t="shared" si="12"/>
        <v>200</v>
      </c>
      <c r="I90" s="7">
        <f t="shared" si="13"/>
        <v>36</v>
      </c>
      <c r="J90" s="7">
        <f t="shared" si="14"/>
        <v>236</v>
      </c>
      <c r="K90" s="7">
        <f t="shared" si="15"/>
        <v>0</v>
      </c>
      <c r="L90" s="8" t="str">
        <f t="shared" si="16"/>
        <v>Verified</v>
      </c>
      <c r="M90" s="8" t="str">
        <f t="shared" si="17"/>
        <v>Complete</v>
      </c>
      <c r="N90" s="39" t="str">
        <f t="shared" si="10"/>
        <v>Unique</v>
      </c>
      <c r="O90" s="8" t="str">
        <f t="shared" si="11"/>
        <v>Passed QC</v>
      </c>
    </row>
    <row r="91" spans="1:15">
      <c r="A91" s="25" t="s">
        <v>124</v>
      </c>
      <c r="B91" s="8" t="s">
        <v>14</v>
      </c>
      <c r="C91" s="8" t="s">
        <v>57</v>
      </c>
      <c r="D91" s="8">
        <v>8</v>
      </c>
      <c r="E91" s="9">
        <v>40</v>
      </c>
      <c r="F91" s="10">
        <v>0.12</v>
      </c>
      <c r="G91" s="9">
        <v>358.4</v>
      </c>
      <c r="H91" s="11">
        <f t="shared" si="12"/>
        <v>320</v>
      </c>
      <c r="I91" s="7">
        <f t="shared" si="13"/>
        <v>38.4</v>
      </c>
      <c r="J91" s="7">
        <f t="shared" si="14"/>
        <v>358.4</v>
      </c>
      <c r="K91" s="7">
        <f t="shared" si="15"/>
        <v>0</v>
      </c>
      <c r="L91" s="8" t="str">
        <f t="shared" si="16"/>
        <v>Verified</v>
      </c>
      <c r="M91" s="8" t="str">
        <f t="shared" si="17"/>
        <v>Complete</v>
      </c>
      <c r="N91" s="39" t="str">
        <f t="shared" si="10"/>
        <v>Unique</v>
      </c>
      <c r="O91" s="8" t="str">
        <f t="shared" si="11"/>
        <v>Passed QC</v>
      </c>
    </row>
    <row r="92" spans="1:15">
      <c r="A92" s="25" t="s">
        <v>125</v>
      </c>
      <c r="B92" s="8" t="s">
        <v>33</v>
      </c>
      <c r="C92" s="8" t="s">
        <v>17</v>
      </c>
      <c r="D92" s="8">
        <v>17</v>
      </c>
      <c r="E92" s="9">
        <v>150</v>
      </c>
      <c r="F92" s="10">
        <v>0.12</v>
      </c>
      <c r="G92" s="9">
        <v>2856</v>
      </c>
      <c r="H92" s="11">
        <f t="shared" si="12"/>
        <v>2550</v>
      </c>
      <c r="I92" s="7">
        <f t="shared" si="13"/>
        <v>306</v>
      </c>
      <c r="J92" s="7">
        <f t="shared" si="14"/>
        <v>2856</v>
      </c>
      <c r="K92" s="7">
        <f t="shared" si="15"/>
        <v>0</v>
      </c>
      <c r="L92" s="8" t="str">
        <f t="shared" si="16"/>
        <v>Verified</v>
      </c>
      <c r="M92" s="8" t="str">
        <f t="shared" si="17"/>
        <v>Complete</v>
      </c>
      <c r="N92" s="39" t="str">
        <f t="shared" si="10"/>
        <v>Unique</v>
      </c>
      <c r="O92" s="8" t="str">
        <f t="shared" si="11"/>
        <v>Passed QC</v>
      </c>
    </row>
    <row r="93" spans="1:15">
      <c r="A93" s="25" t="s">
        <v>126</v>
      </c>
      <c r="B93" s="8" t="s">
        <v>24</v>
      </c>
      <c r="C93" s="8" t="s">
        <v>36</v>
      </c>
      <c r="D93" s="8">
        <v>43</v>
      </c>
      <c r="E93" s="9">
        <v>35</v>
      </c>
      <c r="F93" s="10">
        <v>0.12</v>
      </c>
      <c r="G93" s="9">
        <v>1685.6</v>
      </c>
      <c r="H93" s="11">
        <f t="shared" si="12"/>
        <v>1505</v>
      </c>
      <c r="I93" s="7">
        <f t="shared" si="13"/>
        <v>180.6</v>
      </c>
      <c r="J93" s="7">
        <f t="shared" si="14"/>
        <v>1685.6</v>
      </c>
      <c r="K93" s="7">
        <f t="shared" si="15"/>
        <v>0</v>
      </c>
      <c r="L93" s="8" t="str">
        <f t="shared" si="16"/>
        <v>Verified</v>
      </c>
      <c r="M93" s="8" t="str">
        <f t="shared" si="17"/>
        <v>Complete</v>
      </c>
      <c r="N93" s="39" t="str">
        <f t="shared" si="10"/>
        <v>Unique</v>
      </c>
      <c r="O93" s="8" t="str">
        <f t="shared" si="11"/>
        <v>Passed QC</v>
      </c>
    </row>
    <row r="94" spans="1:15">
      <c r="A94" s="25" t="s">
        <v>127</v>
      </c>
      <c r="B94" s="8" t="s">
        <v>14</v>
      </c>
      <c r="C94" s="8" t="s">
        <v>36</v>
      </c>
      <c r="D94" s="8">
        <v>11</v>
      </c>
      <c r="E94" s="9">
        <v>35</v>
      </c>
      <c r="F94" s="10">
        <v>0.12</v>
      </c>
      <c r="G94" s="9">
        <v>431.2</v>
      </c>
      <c r="H94" s="11">
        <f t="shared" si="12"/>
        <v>385</v>
      </c>
      <c r="I94" s="7">
        <f t="shared" si="13"/>
        <v>46.199999999999996</v>
      </c>
      <c r="J94" s="7">
        <f t="shared" si="14"/>
        <v>431.2</v>
      </c>
      <c r="K94" s="7">
        <f t="shared" si="15"/>
        <v>0</v>
      </c>
      <c r="L94" s="8" t="str">
        <f t="shared" si="16"/>
        <v>Verified</v>
      </c>
      <c r="M94" s="8" t="str">
        <f t="shared" si="17"/>
        <v>Complete</v>
      </c>
      <c r="N94" s="39" t="str">
        <f t="shared" si="10"/>
        <v>Unique</v>
      </c>
      <c r="O94" s="8" t="str">
        <f t="shared" si="11"/>
        <v>Passed QC</v>
      </c>
    </row>
    <row r="95" spans="1:15">
      <c r="A95" s="25" t="s">
        <v>128</v>
      </c>
      <c r="B95" s="8" t="s">
        <v>11</v>
      </c>
      <c r="C95" s="8" t="s">
        <v>57</v>
      </c>
      <c r="D95" s="8">
        <v>17</v>
      </c>
      <c r="E95" s="9">
        <v>40</v>
      </c>
      <c r="F95" s="10">
        <v>0.12</v>
      </c>
      <c r="G95" s="9">
        <v>761.6</v>
      </c>
      <c r="H95" s="11">
        <f t="shared" si="12"/>
        <v>680</v>
      </c>
      <c r="I95" s="7">
        <f t="shared" si="13"/>
        <v>81.599999999999994</v>
      </c>
      <c r="J95" s="7">
        <f t="shared" si="14"/>
        <v>761.6</v>
      </c>
      <c r="K95" s="7">
        <f t="shared" si="15"/>
        <v>0</v>
      </c>
      <c r="L95" s="8" t="str">
        <f t="shared" si="16"/>
        <v>Verified</v>
      </c>
      <c r="M95" s="8" t="str">
        <f t="shared" si="17"/>
        <v>Complete</v>
      </c>
      <c r="N95" s="39" t="str">
        <f t="shared" si="10"/>
        <v>Unique</v>
      </c>
      <c r="O95" s="8" t="str">
        <f t="shared" si="11"/>
        <v>Passed QC</v>
      </c>
    </row>
    <row r="96" spans="1:15">
      <c r="A96" s="25" t="s">
        <v>129</v>
      </c>
      <c r="B96" s="8" t="s">
        <v>33</v>
      </c>
      <c r="C96" s="8" t="s">
        <v>36</v>
      </c>
      <c r="D96" s="8">
        <v>17</v>
      </c>
      <c r="E96" s="9">
        <v>35</v>
      </c>
      <c r="F96" s="10">
        <v>0.12</v>
      </c>
      <c r="G96" s="9">
        <v>666.4</v>
      </c>
      <c r="H96" s="11">
        <f t="shared" si="12"/>
        <v>595</v>
      </c>
      <c r="I96" s="7">
        <f t="shared" si="13"/>
        <v>71.399999999999991</v>
      </c>
      <c r="J96" s="7">
        <f t="shared" si="14"/>
        <v>666.4</v>
      </c>
      <c r="K96" s="7">
        <f t="shared" si="15"/>
        <v>0</v>
      </c>
      <c r="L96" s="8" t="str">
        <f t="shared" si="16"/>
        <v>Verified</v>
      </c>
      <c r="M96" s="8" t="str">
        <f t="shared" si="17"/>
        <v>Complete</v>
      </c>
      <c r="N96" s="39" t="str">
        <f t="shared" si="10"/>
        <v>Unique</v>
      </c>
      <c r="O96" s="8" t="str">
        <f t="shared" si="11"/>
        <v>Passed QC</v>
      </c>
    </row>
    <row r="97" spans="1:15">
      <c r="A97" s="25" t="s">
        <v>130</v>
      </c>
      <c r="B97" s="8" t="s">
        <v>40</v>
      </c>
      <c r="C97" s="8" t="s">
        <v>28</v>
      </c>
      <c r="D97" s="8">
        <v>14</v>
      </c>
      <c r="E97" s="9">
        <v>500</v>
      </c>
      <c r="F97" s="10">
        <v>0.18</v>
      </c>
      <c r="G97" s="9">
        <v>8260</v>
      </c>
      <c r="H97" s="11">
        <f t="shared" si="12"/>
        <v>7000</v>
      </c>
      <c r="I97" s="7">
        <f t="shared" si="13"/>
        <v>1260</v>
      </c>
      <c r="J97" s="7">
        <f t="shared" si="14"/>
        <v>8260</v>
      </c>
      <c r="K97" s="7">
        <f t="shared" si="15"/>
        <v>0</v>
      </c>
      <c r="L97" s="8" t="str">
        <f t="shared" si="16"/>
        <v>Verified</v>
      </c>
      <c r="M97" s="8" t="str">
        <f t="shared" si="17"/>
        <v>Complete</v>
      </c>
      <c r="N97" s="39" t="str">
        <f t="shared" si="10"/>
        <v>Unique</v>
      </c>
      <c r="O97" s="8" t="str">
        <f t="shared" si="11"/>
        <v>Passed QC</v>
      </c>
    </row>
    <row r="98" spans="1:15">
      <c r="A98" s="25" t="s">
        <v>131</v>
      </c>
      <c r="B98" s="8" t="s">
        <v>29</v>
      </c>
      <c r="C98" s="8" t="s">
        <v>45</v>
      </c>
      <c r="D98" s="8">
        <v>40</v>
      </c>
      <c r="E98" s="9">
        <v>800</v>
      </c>
      <c r="F98" s="10">
        <v>0.18</v>
      </c>
      <c r="G98" s="9">
        <v>37760</v>
      </c>
      <c r="H98" s="11">
        <f t="shared" si="12"/>
        <v>32000</v>
      </c>
      <c r="I98" s="7">
        <f t="shared" si="13"/>
        <v>5760</v>
      </c>
      <c r="J98" s="7">
        <f t="shared" si="14"/>
        <v>37760</v>
      </c>
      <c r="K98" s="7">
        <f t="shared" si="15"/>
        <v>0</v>
      </c>
      <c r="L98" s="8" t="str">
        <f t="shared" si="16"/>
        <v>Verified</v>
      </c>
      <c r="M98" s="8" t="str">
        <f t="shared" si="17"/>
        <v>Complete</v>
      </c>
      <c r="N98" s="39" t="str">
        <f t="shared" ref="N98:N129" si="18">IF(A98="","Missing Invoice ID",IF(COUNTIF($A$2:$A$151,A98)&gt;1,"Duplicate","Unique"))</f>
        <v>Unique</v>
      </c>
      <c r="O98" s="8" t="str">
        <f t="shared" ref="O98:O129" si="19">IF(OR(A98="",N98="Missing Invoice ID"),"Missing Invoice ID",IF(N98="Duplicate","Duplicate - Investigate",IF(M98="Review Required","Incomplete - Review",IF(L98="Discrepancy","Amount Mismatch","Passed QC"))))</f>
        <v>Passed QC</v>
      </c>
    </row>
    <row r="99" spans="1:15">
      <c r="A99" s="25" t="s">
        <v>132</v>
      </c>
      <c r="B99" s="8" t="s">
        <v>24</v>
      </c>
      <c r="C99" s="8" t="s">
        <v>52</v>
      </c>
      <c r="D99" s="8">
        <v>30</v>
      </c>
      <c r="E99" s="9">
        <v>2200</v>
      </c>
      <c r="F99" s="10">
        <v>0.18</v>
      </c>
      <c r="G99" s="9">
        <v>77880</v>
      </c>
      <c r="H99" s="11">
        <f t="shared" si="12"/>
        <v>66000</v>
      </c>
      <c r="I99" s="7">
        <f t="shared" si="13"/>
        <v>11880</v>
      </c>
      <c r="J99" s="7">
        <f t="shared" si="14"/>
        <v>77880</v>
      </c>
      <c r="K99" s="7">
        <f t="shared" si="15"/>
        <v>0</v>
      </c>
      <c r="L99" s="8" t="str">
        <f t="shared" si="16"/>
        <v>Verified</v>
      </c>
      <c r="M99" s="8" t="str">
        <f t="shared" si="17"/>
        <v>Complete</v>
      </c>
      <c r="N99" s="39" t="str">
        <f t="shared" si="18"/>
        <v>Unique</v>
      </c>
      <c r="O99" s="8" t="str">
        <f t="shared" si="19"/>
        <v>Passed QC</v>
      </c>
    </row>
    <row r="100" spans="1:15">
      <c r="A100" s="25" t="s">
        <v>133</v>
      </c>
      <c r="B100" s="8" t="s">
        <v>40</v>
      </c>
      <c r="C100" s="8" t="s">
        <v>9</v>
      </c>
      <c r="D100" s="8">
        <v>19</v>
      </c>
      <c r="E100" s="9">
        <v>25</v>
      </c>
      <c r="F100" s="10">
        <v>0.12</v>
      </c>
      <c r="G100" s="9">
        <v>582</v>
      </c>
      <c r="H100" s="11">
        <f t="shared" si="12"/>
        <v>475</v>
      </c>
      <c r="I100" s="7">
        <f t="shared" si="13"/>
        <v>57</v>
      </c>
      <c r="J100" s="7">
        <f t="shared" si="14"/>
        <v>532</v>
      </c>
      <c r="K100" s="7">
        <f t="shared" si="15"/>
        <v>50</v>
      </c>
      <c r="L100" s="8" t="str">
        <f t="shared" si="16"/>
        <v>Discrepancy</v>
      </c>
      <c r="M100" s="8" t="str">
        <f t="shared" si="17"/>
        <v>Complete</v>
      </c>
      <c r="N100" s="39" t="str">
        <f t="shared" si="18"/>
        <v>Unique</v>
      </c>
      <c r="O100" s="8" t="str">
        <f t="shared" si="19"/>
        <v>Amount Mismatch</v>
      </c>
    </row>
    <row r="101" spans="1:15">
      <c r="A101" s="25" t="s">
        <v>134</v>
      </c>
      <c r="B101" s="8" t="s">
        <v>16</v>
      </c>
      <c r="C101" s="8" t="s">
        <v>19</v>
      </c>
      <c r="D101" s="8">
        <v>4</v>
      </c>
      <c r="E101" s="9">
        <v>1200</v>
      </c>
      <c r="F101" s="10">
        <v>0.18</v>
      </c>
      <c r="G101" s="9">
        <v>5664</v>
      </c>
      <c r="H101" s="11">
        <f t="shared" si="12"/>
        <v>4800</v>
      </c>
      <c r="I101" s="7">
        <f t="shared" si="13"/>
        <v>864</v>
      </c>
      <c r="J101" s="7">
        <f t="shared" si="14"/>
        <v>5664</v>
      </c>
      <c r="K101" s="7">
        <f t="shared" si="15"/>
        <v>0</v>
      </c>
      <c r="L101" s="8" t="str">
        <f t="shared" si="16"/>
        <v>Verified</v>
      </c>
      <c r="M101" s="8" t="str">
        <f t="shared" si="17"/>
        <v>Complete</v>
      </c>
      <c r="N101" s="39" t="str">
        <f t="shared" si="18"/>
        <v>Unique</v>
      </c>
      <c r="O101" s="8" t="str">
        <f t="shared" si="19"/>
        <v>Passed QC</v>
      </c>
    </row>
    <row r="102" spans="1:15">
      <c r="A102" s="25" t="s">
        <v>135</v>
      </c>
      <c r="B102" s="8" t="s">
        <v>16</v>
      </c>
      <c r="C102" s="8" t="s">
        <v>17</v>
      </c>
      <c r="D102" s="8">
        <v>35</v>
      </c>
      <c r="E102" s="9">
        <v>150</v>
      </c>
      <c r="F102" s="10">
        <v>0.12</v>
      </c>
      <c r="G102" s="9">
        <v>5880</v>
      </c>
      <c r="H102" s="11">
        <f t="shared" si="12"/>
        <v>5250</v>
      </c>
      <c r="I102" s="7">
        <f t="shared" si="13"/>
        <v>630</v>
      </c>
      <c r="J102" s="7">
        <f t="shared" si="14"/>
        <v>5880</v>
      </c>
      <c r="K102" s="7">
        <f t="shared" si="15"/>
        <v>0</v>
      </c>
      <c r="L102" s="8" t="str">
        <f t="shared" si="16"/>
        <v>Verified</v>
      </c>
      <c r="M102" s="8" t="str">
        <f t="shared" si="17"/>
        <v>Complete</v>
      </c>
      <c r="N102" s="39" t="str">
        <f t="shared" si="18"/>
        <v>Unique</v>
      </c>
      <c r="O102" s="8" t="str">
        <f t="shared" si="19"/>
        <v>Passed QC</v>
      </c>
    </row>
    <row r="103" spans="1:15">
      <c r="A103" s="25" t="s">
        <v>136</v>
      </c>
      <c r="B103" s="8" t="s">
        <v>33</v>
      </c>
      <c r="C103" s="8" t="s">
        <v>57</v>
      </c>
      <c r="D103" s="8">
        <v>50</v>
      </c>
      <c r="E103" s="9">
        <v>40</v>
      </c>
      <c r="F103" s="10">
        <v>0.12</v>
      </c>
      <c r="G103" s="9">
        <v>2240</v>
      </c>
      <c r="H103" s="11">
        <f t="shared" si="12"/>
        <v>2000</v>
      </c>
      <c r="I103" s="7">
        <f t="shared" si="13"/>
        <v>240</v>
      </c>
      <c r="J103" s="7">
        <f t="shared" si="14"/>
        <v>2240</v>
      </c>
      <c r="K103" s="7">
        <f t="shared" si="15"/>
        <v>0</v>
      </c>
      <c r="L103" s="8" t="str">
        <f t="shared" si="16"/>
        <v>Verified</v>
      </c>
      <c r="M103" s="8" t="str">
        <f t="shared" si="17"/>
        <v>Complete</v>
      </c>
      <c r="N103" s="39" t="str">
        <f t="shared" si="18"/>
        <v>Unique</v>
      </c>
      <c r="O103" s="8" t="str">
        <f t="shared" si="19"/>
        <v>Passed QC</v>
      </c>
    </row>
    <row r="104" spans="1:15">
      <c r="A104" s="25" t="s">
        <v>137</v>
      </c>
      <c r="B104" s="8" t="s">
        <v>29</v>
      </c>
      <c r="C104" s="8" t="s">
        <v>45</v>
      </c>
      <c r="D104" s="8">
        <v>0</v>
      </c>
      <c r="E104" s="9">
        <v>800</v>
      </c>
      <c r="F104" s="10">
        <v>0.18</v>
      </c>
      <c r="G104" s="9">
        <v>16992</v>
      </c>
      <c r="H104" s="11">
        <f t="shared" si="12"/>
        <v>0</v>
      </c>
      <c r="I104" s="7">
        <f t="shared" si="13"/>
        <v>0</v>
      </c>
      <c r="J104" s="7">
        <f t="shared" si="14"/>
        <v>0</v>
      </c>
      <c r="K104" s="7">
        <f t="shared" si="15"/>
        <v>16992</v>
      </c>
      <c r="L104" s="8" t="str">
        <f t="shared" si="16"/>
        <v>Discrepancy</v>
      </c>
      <c r="M104" s="8" t="str">
        <f t="shared" si="17"/>
        <v>Review Required</v>
      </c>
      <c r="N104" s="39" t="str">
        <f t="shared" si="18"/>
        <v>Unique</v>
      </c>
      <c r="O104" s="8" t="str">
        <f t="shared" si="19"/>
        <v>Incomplete - Review</v>
      </c>
    </row>
    <row r="105" spans="1:15">
      <c r="A105" s="25" t="s">
        <v>138</v>
      </c>
      <c r="B105" s="8" t="s">
        <v>8</v>
      </c>
      <c r="C105" s="8" t="s">
        <v>61</v>
      </c>
      <c r="D105" s="8">
        <v>25</v>
      </c>
      <c r="E105" s="9">
        <v>7200</v>
      </c>
      <c r="F105" s="10">
        <v>0.18</v>
      </c>
      <c r="G105" s="9">
        <v>212400</v>
      </c>
      <c r="H105" s="11">
        <f t="shared" si="12"/>
        <v>180000</v>
      </c>
      <c r="I105" s="7">
        <f t="shared" si="13"/>
        <v>32400</v>
      </c>
      <c r="J105" s="7">
        <f t="shared" si="14"/>
        <v>212400</v>
      </c>
      <c r="K105" s="7">
        <f t="shared" si="15"/>
        <v>0</v>
      </c>
      <c r="L105" s="8" t="str">
        <f t="shared" si="16"/>
        <v>Verified</v>
      </c>
      <c r="M105" s="8" t="str">
        <f t="shared" si="17"/>
        <v>Complete</v>
      </c>
      <c r="N105" s="39" t="str">
        <f t="shared" si="18"/>
        <v>Unique</v>
      </c>
      <c r="O105" s="8" t="str">
        <f t="shared" si="19"/>
        <v>Passed QC</v>
      </c>
    </row>
    <row r="106" spans="1:15">
      <c r="A106" s="25" t="s">
        <v>139</v>
      </c>
      <c r="B106" s="8" t="s">
        <v>40</v>
      </c>
      <c r="C106" s="8" t="s">
        <v>61</v>
      </c>
      <c r="D106" s="8">
        <v>18</v>
      </c>
      <c r="E106" s="9">
        <v>7200</v>
      </c>
      <c r="F106" s="10">
        <v>0.18</v>
      </c>
      <c r="G106" s="9">
        <v>152928</v>
      </c>
      <c r="H106" s="11">
        <f t="shared" si="12"/>
        <v>129600</v>
      </c>
      <c r="I106" s="7">
        <f t="shared" si="13"/>
        <v>23328</v>
      </c>
      <c r="J106" s="7">
        <f t="shared" si="14"/>
        <v>152928</v>
      </c>
      <c r="K106" s="7">
        <f t="shared" si="15"/>
        <v>0</v>
      </c>
      <c r="L106" s="8" t="str">
        <f t="shared" si="16"/>
        <v>Verified</v>
      </c>
      <c r="M106" s="8" t="str">
        <f t="shared" si="17"/>
        <v>Complete</v>
      </c>
      <c r="N106" s="39" t="str">
        <f t="shared" si="18"/>
        <v>Unique</v>
      </c>
      <c r="O106" s="8" t="str">
        <f t="shared" si="19"/>
        <v>Passed QC</v>
      </c>
    </row>
    <row r="107" spans="1:15">
      <c r="A107" s="25" t="s">
        <v>140</v>
      </c>
      <c r="B107" s="8" t="s">
        <v>67</v>
      </c>
      <c r="C107" s="8" t="s">
        <v>12</v>
      </c>
      <c r="D107" s="8">
        <v>44</v>
      </c>
      <c r="E107" s="9">
        <v>1800</v>
      </c>
      <c r="F107" s="10">
        <v>0.18</v>
      </c>
      <c r="G107" s="9">
        <v>93456</v>
      </c>
      <c r="H107" s="11">
        <f t="shared" si="12"/>
        <v>79200</v>
      </c>
      <c r="I107" s="7">
        <f t="shared" si="13"/>
        <v>14256</v>
      </c>
      <c r="J107" s="7">
        <f t="shared" si="14"/>
        <v>93456</v>
      </c>
      <c r="K107" s="7">
        <f t="shared" si="15"/>
        <v>0</v>
      </c>
      <c r="L107" s="8" t="str">
        <f t="shared" si="16"/>
        <v>Verified</v>
      </c>
      <c r="M107" s="8" t="str">
        <f t="shared" si="17"/>
        <v>Complete</v>
      </c>
      <c r="N107" s="39" t="str">
        <f t="shared" si="18"/>
        <v>Unique</v>
      </c>
      <c r="O107" s="8" t="str">
        <f t="shared" si="19"/>
        <v>Passed QC</v>
      </c>
    </row>
    <row r="108" spans="1:15">
      <c r="A108" s="25" t="s">
        <v>141</v>
      </c>
      <c r="B108" s="8" t="s">
        <v>33</v>
      </c>
      <c r="C108" s="8" t="s">
        <v>25</v>
      </c>
      <c r="D108" s="8">
        <v>13</v>
      </c>
      <c r="E108" s="9">
        <v>300</v>
      </c>
      <c r="F108" s="10">
        <v>0.18</v>
      </c>
      <c r="G108" s="9">
        <v>4602</v>
      </c>
      <c r="H108" s="11">
        <f t="shared" si="12"/>
        <v>3900</v>
      </c>
      <c r="I108" s="7">
        <f t="shared" si="13"/>
        <v>702</v>
      </c>
      <c r="J108" s="7">
        <f t="shared" si="14"/>
        <v>4602</v>
      </c>
      <c r="K108" s="7">
        <f t="shared" si="15"/>
        <v>0</v>
      </c>
      <c r="L108" s="8" t="str">
        <f t="shared" si="16"/>
        <v>Verified</v>
      </c>
      <c r="M108" s="8" t="str">
        <f t="shared" si="17"/>
        <v>Complete</v>
      </c>
      <c r="N108" s="39" t="str">
        <f t="shared" si="18"/>
        <v>Unique</v>
      </c>
      <c r="O108" s="8" t="str">
        <f t="shared" si="19"/>
        <v>Passed QC</v>
      </c>
    </row>
    <row r="109" spans="1:15">
      <c r="A109" s="25" t="s">
        <v>142</v>
      </c>
      <c r="B109" s="8" t="s">
        <v>67</v>
      </c>
      <c r="C109" s="8" t="s">
        <v>42</v>
      </c>
      <c r="D109" s="8">
        <v>32</v>
      </c>
      <c r="E109" s="9">
        <v>450</v>
      </c>
      <c r="F109" s="10">
        <v>0.18</v>
      </c>
      <c r="G109" s="9">
        <v>17042</v>
      </c>
      <c r="H109" s="11">
        <f t="shared" si="12"/>
        <v>14400</v>
      </c>
      <c r="I109" s="7">
        <f t="shared" si="13"/>
        <v>2592</v>
      </c>
      <c r="J109" s="7">
        <f t="shared" si="14"/>
        <v>16992</v>
      </c>
      <c r="K109" s="7">
        <f t="shared" si="15"/>
        <v>50</v>
      </c>
      <c r="L109" s="8" t="str">
        <f t="shared" si="16"/>
        <v>Discrepancy</v>
      </c>
      <c r="M109" s="8" t="str">
        <f t="shared" si="17"/>
        <v>Complete</v>
      </c>
      <c r="N109" s="39" t="str">
        <f t="shared" si="18"/>
        <v>Unique</v>
      </c>
      <c r="O109" s="8" t="str">
        <f t="shared" si="19"/>
        <v>Amount Mismatch</v>
      </c>
    </row>
    <row r="110" spans="1:15">
      <c r="A110" s="25" t="s">
        <v>143</v>
      </c>
      <c r="B110" s="8" t="s">
        <v>29</v>
      </c>
      <c r="C110" s="8" t="s">
        <v>57</v>
      </c>
      <c r="D110" s="8">
        <v>24</v>
      </c>
      <c r="E110" s="9">
        <v>40</v>
      </c>
      <c r="F110" s="10">
        <v>0.12</v>
      </c>
      <c r="G110" s="9">
        <v>1075.2</v>
      </c>
      <c r="H110" s="11">
        <f t="shared" si="12"/>
        <v>960</v>
      </c>
      <c r="I110" s="7">
        <f t="shared" si="13"/>
        <v>115.19999999999999</v>
      </c>
      <c r="J110" s="7">
        <f t="shared" si="14"/>
        <v>1075.2</v>
      </c>
      <c r="K110" s="7">
        <f t="shared" si="15"/>
        <v>0</v>
      </c>
      <c r="L110" s="8" t="str">
        <f t="shared" si="16"/>
        <v>Verified</v>
      </c>
      <c r="M110" s="8" t="str">
        <f t="shared" si="17"/>
        <v>Complete</v>
      </c>
      <c r="N110" s="39" t="str">
        <f t="shared" si="18"/>
        <v>Unique</v>
      </c>
      <c r="O110" s="8" t="str">
        <f t="shared" si="19"/>
        <v>Passed QC</v>
      </c>
    </row>
    <row r="111" spans="1:15">
      <c r="A111" s="25" t="s">
        <v>144</v>
      </c>
      <c r="B111" s="8" t="s">
        <v>67</v>
      </c>
      <c r="C111" s="8" t="s">
        <v>28</v>
      </c>
      <c r="D111" s="8">
        <v>2</v>
      </c>
      <c r="E111" s="9">
        <v>500</v>
      </c>
      <c r="F111" s="10">
        <v>0.18</v>
      </c>
      <c r="G111" s="9">
        <v>1180</v>
      </c>
      <c r="H111" s="11">
        <f t="shared" si="12"/>
        <v>1000</v>
      </c>
      <c r="I111" s="7">
        <f t="shared" si="13"/>
        <v>180</v>
      </c>
      <c r="J111" s="7">
        <f t="shared" si="14"/>
        <v>1180</v>
      </c>
      <c r="K111" s="7">
        <f t="shared" si="15"/>
        <v>0</v>
      </c>
      <c r="L111" s="8" t="str">
        <f t="shared" si="16"/>
        <v>Verified</v>
      </c>
      <c r="M111" s="8" t="str">
        <f t="shared" si="17"/>
        <v>Complete</v>
      </c>
      <c r="N111" s="39" t="str">
        <f t="shared" si="18"/>
        <v>Unique</v>
      </c>
      <c r="O111" s="8" t="str">
        <f t="shared" si="19"/>
        <v>Passed QC</v>
      </c>
    </row>
    <row r="112" spans="1:15">
      <c r="A112" s="25" t="s">
        <v>145</v>
      </c>
      <c r="B112" s="8" t="s">
        <v>29</v>
      </c>
      <c r="C112" s="8" t="s">
        <v>45</v>
      </c>
      <c r="D112" s="8">
        <v>33</v>
      </c>
      <c r="E112" s="9">
        <v>800</v>
      </c>
      <c r="F112" s="10">
        <v>0.18</v>
      </c>
      <c r="G112" s="9">
        <v>31152</v>
      </c>
      <c r="H112" s="11">
        <f t="shared" si="12"/>
        <v>26400</v>
      </c>
      <c r="I112" s="7">
        <f t="shared" si="13"/>
        <v>4752</v>
      </c>
      <c r="J112" s="7">
        <f t="shared" si="14"/>
        <v>31152</v>
      </c>
      <c r="K112" s="7">
        <f t="shared" si="15"/>
        <v>0</v>
      </c>
      <c r="L112" s="8" t="str">
        <f t="shared" si="16"/>
        <v>Verified</v>
      </c>
      <c r="M112" s="8" t="str">
        <f t="shared" si="17"/>
        <v>Complete</v>
      </c>
      <c r="N112" s="39" t="str">
        <f t="shared" si="18"/>
        <v>Unique</v>
      </c>
      <c r="O112" s="8" t="str">
        <f t="shared" si="19"/>
        <v>Passed QC</v>
      </c>
    </row>
    <row r="113" spans="1:15">
      <c r="A113" s="25" t="s">
        <v>146</v>
      </c>
      <c r="B113" s="8" t="s">
        <v>29</v>
      </c>
      <c r="D113" s="8">
        <v>48</v>
      </c>
      <c r="E113" s="9">
        <v>10</v>
      </c>
      <c r="F113" s="10">
        <v>0.18</v>
      </c>
      <c r="G113" s="9">
        <v>566.4</v>
      </c>
      <c r="H113" s="11">
        <f t="shared" si="12"/>
        <v>480</v>
      </c>
      <c r="I113" s="7">
        <f t="shared" si="13"/>
        <v>86.399999999999991</v>
      </c>
      <c r="J113" s="7">
        <f t="shared" si="14"/>
        <v>566.4</v>
      </c>
      <c r="K113" s="7">
        <f t="shared" si="15"/>
        <v>0</v>
      </c>
      <c r="L113" s="8" t="str">
        <f t="shared" si="16"/>
        <v>Verified</v>
      </c>
      <c r="M113" s="8" t="str">
        <f t="shared" si="17"/>
        <v>Review Required</v>
      </c>
      <c r="N113" s="39" t="str">
        <f t="shared" si="18"/>
        <v>Unique</v>
      </c>
      <c r="O113" s="8" t="str">
        <f t="shared" si="19"/>
        <v>Incomplete - Review</v>
      </c>
    </row>
    <row r="114" spans="1:15">
      <c r="A114" s="25" t="s">
        <v>147</v>
      </c>
      <c r="B114" s="8" t="s">
        <v>24</v>
      </c>
      <c r="C114" s="8" t="s">
        <v>30</v>
      </c>
      <c r="D114" s="8">
        <v>46</v>
      </c>
      <c r="E114" s="9">
        <v>900</v>
      </c>
      <c r="F114" s="10">
        <v>0.18</v>
      </c>
      <c r="G114" s="9">
        <v>48852</v>
      </c>
      <c r="H114" s="11">
        <f t="shared" si="12"/>
        <v>41400</v>
      </c>
      <c r="I114" s="7">
        <f t="shared" si="13"/>
        <v>7452</v>
      </c>
      <c r="J114" s="7">
        <f t="shared" si="14"/>
        <v>48852</v>
      </c>
      <c r="K114" s="7">
        <f t="shared" si="15"/>
        <v>0</v>
      </c>
      <c r="L114" s="8" t="str">
        <f t="shared" si="16"/>
        <v>Verified</v>
      </c>
      <c r="M114" s="8" t="str">
        <f t="shared" si="17"/>
        <v>Complete</v>
      </c>
      <c r="N114" s="39" t="str">
        <f t="shared" si="18"/>
        <v>Unique</v>
      </c>
      <c r="O114" s="8" t="str">
        <f t="shared" si="19"/>
        <v>Passed QC</v>
      </c>
    </row>
    <row r="115" spans="1:15">
      <c r="A115" s="25" t="s">
        <v>148</v>
      </c>
      <c r="B115" s="8" t="s">
        <v>40</v>
      </c>
      <c r="C115" s="8" t="s">
        <v>22</v>
      </c>
      <c r="D115" s="8">
        <v>25</v>
      </c>
      <c r="E115" s="9">
        <v>5000</v>
      </c>
      <c r="F115" s="10">
        <v>0.18</v>
      </c>
      <c r="G115" s="9">
        <v>147500</v>
      </c>
      <c r="H115" s="11">
        <f t="shared" si="12"/>
        <v>125000</v>
      </c>
      <c r="I115" s="7">
        <f t="shared" si="13"/>
        <v>22500</v>
      </c>
      <c r="J115" s="7">
        <f t="shared" si="14"/>
        <v>147500</v>
      </c>
      <c r="K115" s="7">
        <f t="shared" si="15"/>
        <v>0</v>
      </c>
      <c r="L115" s="8" t="str">
        <f t="shared" si="16"/>
        <v>Verified</v>
      </c>
      <c r="M115" s="8" t="str">
        <f t="shared" si="17"/>
        <v>Complete</v>
      </c>
      <c r="N115" s="39" t="str">
        <f t="shared" si="18"/>
        <v>Unique</v>
      </c>
      <c r="O115" s="8" t="str">
        <f t="shared" si="19"/>
        <v>Passed QC</v>
      </c>
    </row>
    <row r="116" spans="1:15">
      <c r="A116" s="25" t="s">
        <v>149</v>
      </c>
      <c r="B116" s="8" t="s">
        <v>16</v>
      </c>
      <c r="C116" s="8" t="s">
        <v>61</v>
      </c>
      <c r="D116" s="8">
        <v>20</v>
      </c>
      <c r="E116" s="9">
        <v>7200</v>
      </c>
      <c r="F116" s="10">
        <v>0.18</v>
      </c>
      <c r="G116" s="9">
        <v>169920</v>
      </c>
      <c r="H116" s="11">
        <f t="shared" si="12"/>
        <v>144000</v>
      </c>
      <c r="I116" s="7">
        <f t="shared" si="13"/>
        <v>25920</v>
      </c>
      <c r="J116" s="7">
        <f t="shared" si="14"/>
        <v>169920</v>
      </c>
      <c r="K116" s="7">
        <f t="shared" si="15"/>
        <v>0</v>
      </c>
      <c r="L116" s="8" t="str">
        <f t="shared" si="16"/>
        <v>Verified</v>
      </c>
      <c r="M116" s="8" t="str">
        <f t="shared" si="17"/>
        <v>Complete</v>
      </c>
      <c r="N116" s="39" t="str">
        <f t="shared" si="18"/>
        <v>Unique</v>
      </c>
      <c r="O116" s="8" t="str">
        <f t="shared" si="19"/>
        <v>Passed QC</v>
      </c>
    </row>
    <row r="117" spans="1:15">
      <c r="A117" s="25" t="s">
        <v>150</v>
      </c>
      <c r="B117" s="8" t="s">
        <v>29</v>
      </c>
      <c r="C117" s="8" t="s">
        <v>45</v>
      </c>
      <c r="D117" s="8">
        <v>50</v>
      </c>
      <c r="E117" s="9">
        <v>800</v>
      </c>
      <c r="F117" s="10">
        <v>0.18</v>
      </c>
      <c r="G117" s="9">
        <v>47200</v>
      </c>
      <c r="H117" s="11">
        <f t="shared" si="12"/>
        <v>40000</v>
      </c>
      <c r="I117" s="7">
        <f t="shared" si="13"/>
        <v>7200</v>
      </c>
      <c r="J117" s="7">
        <f t="shared" si="14"/>
        <v>47200</v>
      </c>
      <c r="K117" s="7">
        <f t="shared" si="15"/>
        <v>0</v>
      </c>
      <c r="L117" s="8" t="str">
        <f t="shared" si="16"/>
        <v>Verified</v>
      </c>
      <c r="M117" s="8" t="str">
        <f t="shared" si="17"/>
        <v>Complete</v>
      </c>
      <c r="N117" s="39" t="str">
        <f t="shared" si="18"/>
        <v>Unique</v>
      </c>
      <c r="O117" s="8" t="str">
        <f t="shared" si="19"/>
        <v>Passed QC</v>
      </c>
    </row>
    <row r="118" spans="1:15">
      <c r="A118" s="25" t="s">
        <v>151</v>
      </c>
      <c r="C118" s="8" t="s">
        <v>73</v>
      </c>
      <c r="D118" s="8">
        <v>44</v>
      </c>
      <c r="E118" s="9">
        <v>650</v>
      </c>
      <c r="F118" s="10">
        <v>0.18</v>
      </c>
      <c r="G118" s="9">
        <v>33748</v>
      </c>
      <c r="H118" s="11">
        <f t="shared" si="12"/>
        <v>28600</v>
      </c>
      <c r="I118" s="7">
        <f t="shared" si="13"/>
        <v>5148</v>
      </c>
      <c r="J118" s="7">
        <f t="shared" si="14"/>
        <v>33748</v>
      </c>
      <c r="K118" s="7">
        <f t="shared" si="15"/>
        <v>0</v>
      </c>
      <c r="L118" s="8" t="str">
        <f t="shared" si="16"/>
        <v>Verified</v>
      </c>
      <c r="M118" s="8" t="str">
        <f t="shared" si="17"/>
        <v>Review Required</v>
      </c>
      <c r="N118" s="39" t="str">
        <f t="shared" si="18"/>
        <v>Unique</v>
      </c>
      <c r="O118" s="8" t="str">
        <f t="shared" si="19"/>
        <v>Incomplete - Review</v>
      </c>
    </row>
    <row r="119" spans="1:15">
      <c r="A119" s="25" t="s">
        <v>152</v>
      </c>
      <c r="B119" s="8" t="s">
        <v>40</v>
      </c>
      <c r="C119" s="8" t="s">
        <v>17</v>
      </c>
      <c r="D119" s="8">
        <v>16</v>
      </c>
      <c r="E119" s="9">
        <v>150</v>
      </c>
      <c r="F119" s="10">
        <v>0.12</v>
      </c>
      <c r="G119" s="9">
        <v>2688</v>
      </c>
      <c r="H119" s="11">
        <f t="shared" si="12"/>
        <v>2400</v>
      </c>
      <c r="I119" s="7">
        <f t="shared" si="13"/>
        <v>288</v>
      </c>
      <c r="J119" s="7">
        <f t="shared" si="14"/>
        <v>2688</v>
      </c>
      <c r="K119" s="7">
        <f t="shared" si="15"/>
        <v>0</v>
      </c>
      <c r="L119" s="8" t="str">
        <f t="shared" si="16"/>
        <v>Verified</v>
      </c>
      <c r="M119" s="8" t="str">
        <f t="shared" si="17"/>
        <v>Complete</v>
      </c>
      <c r="N119" s="39" t="str">
        <f t="shared" si="18"/>
        <v>Unique</v>
      </c>
      <c r="O119" s="8" t="str">
        <f t="shared" si="19"/>
        <v>Passed QC</v>
      </c>
    </row>
    <row r="120" spans="1:15">
      <c r="A120" s="25" t="s">
        <v>153</v>
      </c>
      <c r="B120" s="8" t="s">
        <v>29</v>
      </c>
      <c r="C120" s="8" t="s">
        <v>73</v>
      </c>
      <c r="D120" s="8">
        <v>4</v>
      </c>
      <c r="E120" s="9">
        <v>650</v>
      </c>
      <c r="F120" s="10">
        <v>0.18</v>
      </c>
      <c r="G120" s="9">
        <v>3118</v>
      </c>
      <c r="H120" s="11">
        <f t="shared" si="12"/>
        <v>2600</v>
      </c>
      <c r="I120" s="7">
        <f t="shared" si="13"/>
        <v>468</v>
      </c>
      <c r="J120" s="7">
        <f t="shared" si="14"/>
        <v>3068</v>
      </c>
      <c r="K120" s="7">
        <f t="shared" si="15"/>
        <v>50</v>
      </c>
      <c r="L120" s="8" t="str">
        <f t="shared" si="16"/>
        <v>Discrepancy</v>
      </c>
      <c r="M120" s="8" t="str">
        <f t="shared" si="17"/>
        <v>Complete</v>
      </c>
      <c r="N120" s="39" t="str">
        <f t="shared" si="18"/>
        <v>Unique</v>
      </c>
      <c r="O120" s="8" t="str">
        <f t="shared" si="19"/>
        <v>Amount Mismatch</v>
      </c>
    </row>
    <row r="121" spans="1:15">
      <c r="A121" s="25" t="s">
        <v>154</v>
      </c>
      <c r="B121" s="8" t="s">
        <v>14</v>
      </c>
      <c r="C121" s="8" t="s">
        <v>75</v>
      </c>
      <c r="D121" s="8">
        <v>47</v>
      </c>
      <c r="E121" s="9">
        <v>10</v>
      </c>
      <c r="F121" s="10">
        <v>0.18</v>
      </c>
      <c r="G121" s="9">
        <v>554.6</v>
      </c>
      <c r="H121" s="11">
        <f t="shared" si="12"/>
        <v>470</v>
      </c>
      <c r="I121" s="7">
        <f t="shared" si="13"/>
        <v>84.6</v>
      </c>
      <c r="J121" s="7">
        <f t="shared" si="14"/>
        <v>554.6</v>
      </c>
      <c r="K121" s="7">
        <f t="shared" si="15"/>
        <v>0</v>
      </c>
      <c r="L121" s="8" t="str">
        <f t="shared" si="16"/>
        <v>Verified</v>
      </c>
      <c r="M121" s="8" t="str">
        <f t="shared" si="17"/>
        <v>Complete</v>
      </c>
      <c r="N121" s="39" t="str">
        <f t="shared" si="18"/>
        <v>Unique</v>
      </c>
      <c r="O121" s="8" t="str">
        <f t="shared" si="19"/>
        <v>Passed QC</v>
      </c>
    </row>
    <row r="122" spans="1:15">
      <c r="A122" s="25" t="s">
        <v>155</v>
      </c>
      <c r="B122" s="8" t="s">
        <v>67</v>
      </c>
      <c r="C122" s="8" t="s">
        <v>52</v>
      </c>
      <c r="D122" s="8">
        <v>20</v>
      </c>
      <c r="E122" s="9">
        <v>2200</v>
      </c>
      <c r="F122" s="10">
        <v>0.18</v>
      </c>
      <c r="G122" s="9">
        <v>51920</v>
      </c>
      <c r="H122" s="11">
        <f t="shared" si="12"/>
        <v>44000</v>
      </c>
      <c r="I122" s="7">
        <f t="shared" si="13"/>
        <v>7920</v>
      </c>
      <c r="J122" s="7">
        <f t="shared" si="14"/>
        <v>51920</v>
      </c>
      <c r="K122" s="7">
        <f t="shared" si="15"/>
        <v>0</v>
      </c>
      <c r="L122" s="8" t="str">
        <f t="shared" si="16"/>
        <v>Verified</v>
      </c>
      <c r="M122" s="8" t="str">
        <f t="shared" si="17"/>
        <v>Complete</v>
      </c>
      <c r="N122" s="39" t="str">
        <f t="shared" si="18"/>
        <v>Unique</v>
      </c>
      <c r="O122" s="8" t="str">
        <f t="shared" si="19"/>
        <v>Passed QC</v>
      </c>
    </row>
    <row r="123" spans="1:15">
      <c r="A123" s="25" t="s">
        <v>156</v>
      </c>
      <c r="B123" s="8" t="s">
        <v>40</v>
      </c>
      <c r="C123" s="8" t="s">
        <v>42</v>
      </c>
      <c r="D123" s="8">
        <v>41</v>
      </c>
      <c r="E123" s="9">
        <v>450</v>
      </c>
      <c r="F123" s="10">
        <v>0.18</v>
      </c>
      <c r="G123" s="9">
        <v>21771</v>
      </c>
      <c r="H123" s="11">
        <f t="shared" si="12"/>
        <v>18450</v>
      </c>
      <c r="I123" s="7">
        <f t="shared" si="13"/>
        <v>3321</v>
      </c>
      <c r="J123" s="7">
        <f t="shared" si="14"/>
        <v>21771</v>
      </c>
      <c r="K123" s="7">
        <f t="shared" si="15"/>
        <v>0</v>
      </c>
      <c r="L123" s="8" t="str">
        <f t="shared" si="16"/>
        <v>Verified</v>
      </c>
      <c r="M123" s="8" t="str">
        <f t="shared" si="17"/>
        <v>Complete</v>
      </c>
      <c r="N123" s="39" t="str">
        <f t="shared" si="18"/>
        <v>Unique</v>
      </c>
      <c r="O123" s="8" t="str">
        <f t="shared" si="19"/>
        <v>Passed QC</v>
      </c>
    </row>
    <row r="124" spans="1:15">
      <c r="A124" s="25" t="s">
        <v>157</v>
      </c>
      <c r="B124" s="8" t="s">
        <v>33</v>
      </c>
      <c r="C124" s="8" t="s">
        <v>45</v>
      </c>
      <c r="D124" s="8">
        <v>25</v>
      </c>
      <c r="E124" s="9">
        <v>800</v>
      </c>
      <c r="F124" s="10">
        <v>0.18</v>
      </c>
      <c r="G124" s="9">
        <v>23600</v>
      </c>
      <c r="H124" s="11">
        <f t="shared" si="12"/>
        <v>20000</v>
      </c>
      <c r="I124" s="7">
        <f t="shared" si="13"/>
        <v>3600</v>
      </c>
      <c r="J124" s="7">
        <f t="shared" si="14"/>
        <v>23600</v>
      </c>
      <c r="K124" s="7">
        <f t="shared" si="15"/>
        <v>0</v>
      </c>
      <c r="L124" s="8" t="str">
        <f t="shared" si="16"/>
        <v>Verified</v>
      </c>
      <c r="M124" s="8" t="str">
        <f t="shared" si="17"/>
        <v>Complete</v>
      </c>
      <c r="N124" s="39" t="str">
        <f t="shared" si="18"/>
        <v>Unique</v>
      </c>
      <c r="O124" s="8" t="str">
        <f t="shared" si="19"/>
        <v>Passed QC</v>
      </c>
    </row>
    <row r="125" spans="1:15">
      <c r="A125" s="25" t="s">
        <v>158</v>
      </c>
      <c r="B125" s="8" t="s">
        <v>40</v>
      </c>
      <c r="C125" s="8" t="s">
        <v>28</v>
      </c>
      <c r="D125" s="8">
        <v>10</v>
      </c>
      <c r="E125" s="9">
        <v>500</v>
      </c>
      <c r="F125" s="10">
        <v>0.18</v>
      </c>
      <c r="G125" s="9">
        <v>5900</v>
      </c>
      <c r="H125" s="11">
        <f t="shared" si="12"/>
        <v>5000</v>
      </c>
      <c r="I125" s="7">
        <f t="shared" si="13"/>
        <v>900</v>
      </c>
      <c r="J125" s="7">
        <f t="shared" si="14"/>
        <v>5900</v>
      </c>
      <c r="K125" s="7">
        <f t="shared" si="15"/>
        <v>0</v>
      </c>
      <c r="L125" s="8" t="str">
        <f t="shared" si="16"/>
        <v>Verified</v>
      </c>
      <c r="M125" s="8" t="str">
        <f t="shared" si="17"/>
        <v>Complete</v>
      </c>
      <c r="N125" s="39" t="str">
        <f t="shared" si="18"/>
        <v>Unique</v>
      </c>
      <c r="O125" s="8" t="str">
        <f t="shared" si="19"/>
        <v>Passed QC</v>
      </c>
    </row>
    <row r="126" spans="1:15">
      <c r="A126" s="25" t="s">
        <v>159</v>
      </c>
      <c r="B126" s="8" t="s">
        <v>40</v>
      </c>
      <c r="C126" s="8" t="s">
        <v>25</v>
      </c>
      <c r="D126" s="8">
        <v>26</v>
      </c>
      <c r="E126" s="9">
        <v>300</v>
      </c>
      <c r="F126" s="10">
        <v>0.18</v>
      </c>
      <c r="G126" s="9">
        <v>9204</v>
      </c>
      <c r="H126" s="11">
        <f t="shared" si="12"/>
        <v>7800</v>
      </c>
      <c r="I126" s="7">
        <f t="shared" si="13"/>
        <v>1404</v>
      </c>
      <c r="J126" s="7">
        <f t="shared" si="14"/>
        <v>9204</v>
      </c>
      <c r="K126" s="7">
        <f t="shared" si="15"/>
        <v>0</v>
      </c>
      <c r="L126" s="8" t="str">
        <f t="shared" si="16"/>
        <v>Verified</v>
      </c>
      <c r="M126" s="8" t="str">
        <f t="shared" si="17"/>
        <v>Complete</v>
      </c>
      <c r="N126" s="39" t="str">
        <f t="shared" si="18"/>
        <v>Unique</v>
      </c>
      <c r="O126" s="8" t="str">
        <f t="shared" si="19"/>
        <v>Passed QC</v>
      </c>
    </row>
    <row r="127" spans="1:15">
      <c r="A127" s="25" t="s">
        <v>160</v>
      </c>
      <c r="B127" s="8" t="s">
        <v>21</v>
      </c>
      <c r="C127" s="8" t="s">
        <v>61</v>
      </c>
      <c r="D127" s="8">
        <v>50</v>
      </c>
      <c r="E127" s="9">
        <v>7200</v>
      </c>
      <c r="F127" s="10">
        <v>0.18</v>
      </c>
      <c r="G127" s="9">
        <v>424800</v>
      </c>
      <c r="H127" s="11">
        <f t="shared" si="12"/>
        <v>360000</v>
      </c>
      <c r="I127" s="7">
        <f t="shared" si="13"/>
        <v>64800</v>
      </c>
      <c r="J127" s="7">
        <f t="shared" si="14"/>
        <v>424800</v>
      </c>
      <c r="K127" s="7">
        <f t="shared" si="15"/>
        <v>0</v>
      </c>
      <c r="L127" s="8" t="str">
        <f t="shared" si="16"/>
        <v>Verified</v>
      </c>
      <c r="M127" s="8" t="str">
        <f t="shared" si="17"/>
        <v>Complete</v>
      </c>
      <c r="N127" s="39" t="str">
        <f t="shared" si="18"/>
        <v>Unique</v>
      </c>
      <c r="O127" s="8" t="str">
        <f t="shared" si="19"/>
        <v>Passed QC</v>
      </c>
    </row>
    <row r="128" spans="1:15">
      <c r="A128" s="25" t="s">
        <v>161</v>
      </c>
      <c r="B128" s="8" t="s">
        <v>40</v>
      </c>
      <c r="C128" s="8" t="s">
        <v>75</v>
      </c>
      <c r="D128" s="8">
        <v>36</v>
      </c>
      <c r="E128" s="9">
        <v>10</v>
      </c>
      <c r="F128" s="10">
        <v>0.18</v>
      </c>
      <c r="G128" s="9">
        <v>424.8</v>
      </c>
      <c r="H128" s="11">
        <f t="shared" si="12"/>
        <v>360</v>
      </c>
      <c r="I128" s="7">
        <f t="shared" si="13"/>
        <v>64.8</v>
      </c>
      <c r="J128" s="7">
        <f t="shared" si="14"/>
        <v>424.8</v>
      </c>
      <c r="K128" s="7">
        <f t="shared" si="15"/>
        <v>0</v>
      </c>
      <c r="L128" s="8" t="str">
        <f t="shared" si="16"/>
        <v>Verified</v>
      </c>
      <c r="M128" s="8" t="str">
        <f t="shared" si="17"/>
        <v>Complete</v>
      </c>
      <c r="N128" s="39" t="str">
        <f t="shared" si="18"/>
        <v>Unique</v>
      </c>
      <c r="O128" s="8" t="str">
        <f t="shared" si="19"/>
        <v>Passed QC</v>
      </c>
    </row>
    <row r="129" spans="1:15">
      <c r="A129" s="25" t="s">
        <v>162</v>
      </c>
      <c r="B129" s="8" t="s">
        <v>67</v>
      </c>
      <c r="C129" s="8" t="s">
        <v>12</v>
      </c>
      <c r="D129" s="8">
        <v>19</v>
      </c>
      <c r="E129" s="9">
        <v>1800</v>
      </c>
      <c r="F129" s="10">
        <v>0.18</v>
      </c>
      <c r="G129" s="9">
        <v>40356</v>
      </c>
      <c r="H129" s="11">
        <f t="shared" si="12"/>
        <v>34200</v>
      </c>
      <c r="I129" s="7">
        <f t="shared" si="13"/>
        <v>6156</v>
      </c>
      <c r="J129" s="7">
        <f t="shared" si="14"/>
        <v>40356</v>
      </c>
      <c r="K129" s="7">
        <f t="shared" si="15"/>
        <v>0</v>
      </c>
      <c r="L129" s="8" t="str">
        <f t="shared" si="16"/>
        <v>Verified</v>
      </c>
      <c r="M129" s="8" t="str">
        <f t="shared" si="17"/>
        <v>Complete</v>
      </c>
      <c r="N129" s="39" t="str">
        <f t="shared" si="18"/>
        <v>Unique</v>
      </c>
      <c r="O129" s="8" t="str">
        <f t="shared" si="19"/>
        <v>Passed QC</v>
      </c>
    </row>
    <row r="130" spans="1:15">
      <c r="A130" s="25" t="s">
        <v>163</v>
      </c>
      <c r="B130" s="8" t="s">
        <v>11</v>
      </c>
      <c r="C130" s="8" t="s">
        <v>36</v>
      </c>
      <c r="D130" s="8">
        <v>12</v>
      </c>
      <c r="E130" s="9">
        <v>35</v>
      </c>
      <c r="F130" s="10">
        <v>0.12</v>
      </c>
      <c r="G130" s="9">
        <v>470.4</v>
      </c>
      <c r="H130" s="11">
        <f t="shared" si="12"/>
        <v>420</v>
      </c>
      <c r="I130" s="7">
        <f t="shared" si="13"/>
        <v>50.4</v>
      </c>
      <c r="J130" s="7">
        <f t="shared" si="14"/>
        <v>470.4</v>
      </c>
      <c r="K130" s="7">
        <f t="shared" si="15"/>
        <v>0</v>
      </c>
      <c r="L130" s="8" t="str">
        <f t="shared" si="16"/>
        <v>Verified</v>
      </c>
      <c r="M130" s="8" t="str">
        <f t="shared" si="17"/>
        <v>Complete</v>
      </c>
      <c r="N130" s="39" t="str">
        <f t="shared" ref="N130:N151" si="20">IF(A130="","Missing Invoice ID",IF(COUNTIF($A$2:$A$151,A130)&gt;1,"Duplicate","Unique"))</f>
        <v>Unique</v>
      </c>
      <c r="O130" s="8" t="str">
        <f t="shared" ref="O130:O151" si="21">IF(OR(A130="",N130="Missing Invoice ID"),"Missing Invoice ID",IF(N130="Duplicate","Duplicate - Investigate",IF(M130="Review Required","Incomplete - Review",IF(L130="Discrepancy","Amount Mismatch","Passed QC"))))</f>
        <v>Passed QC</v>
      </c>
    </row>
    <row r="131" spans="1:15">
      <c r="A131" s="25" t="s">
        <v>164</v>
      </c>
      <c r="B131" s="8" t="s">
        <v>21</v>
      </c>
      <c r="C131" s="8" t="s">
        <v>59</v>
      </c>
      <c r="D131" s="8">
        <v>16</v>
      </c>
      <c r="E131" s="9">
        <v>550</v>
      </c>
      <c r="F131" s="10">
        <v>0.18</v>
      </c>
      <c r="G131" s="9">
        <v>10884</v>
      </c>
      <c r="H131" s="11">
        <f t="shared" ref="H131:H151" si="22">D131*E131</f>
        <v>8800</v>
      </c>
      <c r="I131" s="7">
        <f t="shared" ref="I131:I151" si="23">H131*F131</f>
        <v>1584</v>
      </c>
      <c r="J131" s="7">
        <f t="shared" ref="J131:J150" si="24">H131+I131</f>
        <v>10384</v>
      </c>
      <c r="K131" s="7">
        <f t="shared" ref="K131:K151" si="25">G131-J131</f>
        <v>500</v>
      </c>
      <c r="L131" s="8" t="str">
        <f t="shared" ref="L131:L151" si="26">IF(K131=0,"Verified","Discrepancy")</f>
        <v>Discrepancy</v>
      </c>
      <c r="M131" s="8" t="str">
        <f t="shared" ref="M131:M151" si="27">IF(OR(A131="",B131="",C131="",D131&lt;=0,E131&lt;=0),"Review Required","Complete")</f>
        <v>Complete</v>
      </c>
      <c r="N131" s="39" t="str">
        <f t="shared" si="20"/>
        <v>Unique</v>
      </c>
      <c r="O131" s="8" t="str">
        <f t="shared" si="21"/>
        <v>Amount Mismatch</v>
      </c>
    </row>
    <row r="132" spans="1:15">
      <c r="A132" s="25" t="s">
        <v>165</v>
      </c>
      <c r="B132" s="8" t="s">
        <v>14</v>
      </c>
      <c r="C132" s="8" t="s">
        <v>30</v>
      </c>
      <c r="D132" s="8">
        <v>49</v>
      </c>
      <c r="E132" s="9">
        <v>900</v>
      </c>
      <c r="F132" s="10">
        <v>0.18</v>
      </c>
      <c r="G132" s="9">
        <v>52038</v>
      </c>
      <c r="H132" s="11">
        <f t="shared" si="22"/>
        <v>44100</v>
      </c>
      <c r="I132" s="7">
        <f t="shared" si="23"/>
        <v>7938</v>
      </c>
      <c r="J132" s="7">
        <f t="shared" si="24"/>
        <v>52038</v>
      </c>
      <c r="K132" s="7">
        <f t="shared" si="25"/>
        <v>0</v>
      </c>
      <c r="L132" s="8" t="str">
        <f t="shared" si="26"/>
        <v>Verified</v>
      </c>
      <c r="M132" s="8" t="str">
        <f t="shared" si="27"/>
        <v>Complete</v>
      </c>
      <c r="N132" s="39" t="str">
        <f t="shared" si="20"/>
        <v>Unique</v>
      </c>
      <c r="O132" s="8" t="str">
        <f t="shared" si="21"/>
        <v>Passed QC</v>
      </c>
    </row>
    <row r="133" spans="1:15">
      <c r="A133" s="25" t="s">
        <v>166</v>
      </c>
      <c r="B133" s="8" t="s">
        <v>29</v>
      </c>
      <c r="C133" s="8" t="s">
        <v>47</v>
      </c>
      <c r="D133" s="8">
        <v>46</v>
      </c>
      <c r="E133" s="9">
        <v>6500</v>
      </c>
      <c r="F133" s="10">
        <v>0.18</v>
      </c>
      <c r="G133" s="9">
        <v>352820</v>
      </c>
      <c r="H133" s="11">
        <f t="shared" si="22"/>
        <v>299000</v>
      </c>
      <c r="I133" s="7">
        <f t="shared" si="23"/>
        <v>53820</v>
      </c>
      <c r="J133" s="7">
        <f t="shared" si="24"/>
        <v>352820</v>
      </c>
      <c r="K133" s="7">
        <f t="shared" si="25"/>
        <v>0</v>
      </c>
      <c r="L133" s="8" t="str">
        <f t="shared" si="26"/>
        <v>Verified</v>
      </c>
      <c r="M133" s="8" t="str">
        <f t="shared" si="27"/>
        <v>Complete</v>
      </c>
      <c r="N133" s="39" t="str">
        <f t="shared" si="20"/>
        <v>Unique</v>
      </c>
      <c r="O133" s="8" t="str">
        <f t="shared" si="21"/>
        <v>Passed QC</v>
      </c>
    </row>
    <row r="134" spans="1:15">
      <c r="A134" s="25" t="s">
        <v>167</v>
      </c>
      <c r="B134" s="8" t="s">
        <v>67</v>
      </c>
      <c r="C134" s="8" t="s">
        <v>42</v>
      </c>
      <c r="D134" s="8">
        <v>49</v>
      </c>
      <c r="E134" s="9">
        <v>450</v>
      </c>
      <c r="F134" s="10">
        <v>0.18</v>
      </c>
      <c r="G134" s="9">
        <v>26019</v>
      </c>
      <c r="H134" s="11">
        <f t="shared" si="22"/>
        <v>22050</v>
      </c>
      <c r="I134" s="7">
        <f t="shared" si="23"/>
        <v>3969</v>
      </c>
      <c r="J134" s="7">
        <f t="shared" si="24"/>
        <v>26019</v>
      </c>
      <c r="K134" s="7">
        <f t="shared" si="25"/>
        <v>0</v>
      </c>
      <c r="L134" s="8" t="str">
        <f t="shared" si="26"/>
        <v>Verified</v>
      </c>
      <c r="M134" s="8" t="str">
        <f t="shared" si="27"/>
        <v>Complete</v>
      </c>
      <c r="N134" s="39" t="str">
        <f t="shared" si="20"/>
        <v>Unique</v>
      </c>
      <c r="O134" s="8" t="str">
        <f t="shared" si="21"/>
        <v>Passed QC</v>
      </c>
    </row>
    <row r="135" spans="1:15">
      <c r="A135" s="25" t="s">
        <v>168</v>
      </c>
      <c r="B135" s="8" t="s">
        <v>8</v>
      </c>
      <c r="C135" s="8" t="s">
        <v>75</v>
      </c>
      <c r="D135" s="8">
        <v>2</v>
      </c>
      <c r="E135" s="9">
        <v>10</v>
      </c>
      <c r="F135" s="10">
        <v>0.18</v>
      </c>
      <c r="G135" s="9">
        <v>23.6</v>
      </c>
      <c r="H135" s="11">
        <f t="shared" si="22"/>
        <v>20</v>
      </c>
      <c r="I135" s="7">
        <f t="shared" si="23"/>
        <v>3.5999999999999996</v>
      </c>
      <c r="J135" s="7">
        <f t="shared" si="24"/>
        <v>23.6</v>
      </c>
      <c r="K135" s="7">
        <f t="shared" si="25"/>
        <v>0</v>
      </c>
      <c r="L135" s="8" t="str">
        <f t="shared" si="26"/>
        <v>Verified</v>
      </c>
      <c r="M135" s="8" t="str">
        <f t="shared" si="27"/>
        <v>Complete</v>
      </c>
      <c r="N135" s="39" t="str">
        <f t="shared" si="20"/>
        <v>Unique</v>
      </c>
      <c r="O135" s="8" t="str">
        <f t="shared" si="21"/>
        <v>Passed QC</v>
      </c>
    </row>
    <row r="136" spans="1:15">
      <c r="A136" s="25" t="s">
        <v>169</v>
      </c>
      <c r="B136" s="8" t="s">
        <v>24</v>
      </c>
      <c r="C136" s="8" t="s">
        <v>22</v>
      </c>
      <c r="D136" s="8">
        <v>47</v>
      </c>
      <c r="E136" s="9">
        <v>5000</v>
      </c>
      <c r="F136" s="10">
        <v>0.18</v>
      </c>
      <c r="G136" s="9">
        <v>277300</v>
      </c>
      <c r="H136" s="11">
        <f t="shared" si="22"/>
        <v>235000</v>
      </c>
      <c r="I136" s="7">
        <f t="shared" si="23"/>
        <v>42300</v>
      </c>
      <c r="J136" s="7">
        <f t="shared" si="24"/>
        <v>277300</v>
      </c>
      <c r="K136" s="7">
        <f t="shared" si="25"/>
        <v>0</v>
      </c>
      <c r="L136" s="8" t="str">
        <f t="shared" si="26"/>
        <v>Verified</v>
      </c>
      <c r="M136" s="8" t="str">
        <f t="shared" si="27"/>
        <v>Complete</v>
      </c>
      <c r="N136" s="39" t="str">
        <f t="shared" si="20"/>
        <v>Unique</v>
      </c>
      <c r="O136" s="8" t="str">
        <f t="shared" si="21"/>
        <v>Passed QC</v>
      </c>
    </row>
    <row r="137" spans="1:15">
      <c r="A137" s="25" t="s">
        <v>170</v>
      </c>
      <c r="B137" s="8" t="s">
        <v>24</v>
      </c>
      <c r="C137" s="8" t="s">
        <v>73</v>
      </c>
      <c r="D137" s="8">
        <v>10</v>
      </c>
      <c r="E137" s="9">
        <v>650</v>
      </c>
      <c r="F137" s="10">
        <v>0.18</v>
      </c>
      <c r="G137" s="9">
        <v>7670</v>
      </c>
      <c r="H137" s="11">
        <f t="shared" si="22"/>
        <v>6500</v>
      </c>
      <c r="I137" s="7">
        <f t="shared" si="23"/>
        <v>1170</v>
      </c>
      <c r="J137" s="7">
        <f t="shared" si="24"/>
        <v>7670</v>
      </c>
      <c r="K137" s="7">
        <f t="shared" si="25"/>
        <v>0</v>
      </c>
      <c r="L137" s="8" t="str">
        <f t="shared" si="26"/>
        <v>Verified</v>
      </c>
      <c r="M137" s="8" t="str">
        <f t="shared" si="27"/>
        <v>Complete</v>
      </c>
      <c r="N137" s="39" t="str">
        <f t="shared" si="20"/>
        <v>Unique</v>
      </c>
      <c r="O137" s="8" t="str">
        <f t="shared" si="21"/>
        <v>Passed QC</v>
      </c>
    </row>
    <row r="138" spans="1:15">
      <c r="A138" s="25" t="s">
        <v>171</v>
      </c>
      <c r="B138" s="8" t="s">
        <v>14</v>
      </c>
      <c r="C138" s="8" t="s">
        <v>17</v>
      </c>
      <c r="D138" s="8">
        <v>35</v>
      </c>
      <c r="E138" s="9">
        <v>150</v>
      </c>
      <c r="F138" s="10">
        <v>0.12</v>
      </c>
      <c r="G138" s="9">
        <v>5880</v>
      </c>
      <c r="H138" s="11">
        <f t="shared" si="22"/>
        <v>5250</v>
      </c>
      <c r="I138" s="7">
        <f t="shared" si="23"/>
        <v>630</v>
      </c>
      <c r="J138" s="7">
        <f t="shared" si="24"/>
        <v>5880</v>
      </c>
      <c r="K138" s="7">
        <f t="shared" si="25"/>
        <v>0</v>
      </c>
      <c r="L138" s="8" t="str">
        <f t="shared" si="26"/>
        <v>Verified</v>
      </c>
      <c r="M138" s="8" t="str">
        <f t="shared" si="27"/>
        <v>Complete</v>
      </c>
      <c r="N138" s="39" t="str">
        <f t="shared" si="20"/>
        <v>Unique</v>
      </c>
      <c r="O138" s="8" t="str">
        <f t="shared" si="21"/>
        <v>Passed QC</v>
      </c>
    </row>
    <row r="139" spans="1:15">
      <c r="A139" s="25" t="s">
        <v>172</v>
      </c>
      <c r="B139" s="8" t="s">
        <v>8</v>
      </c>
      <c r="C139" s="8" t="s">
        <v>50</v>
      </c>
      <c r="D139" s="8">
        <v>45</v>
      </c>
      <c r="E139" s="9">
        <v>60</v>
      </c>
      <c r="F139" s="10">
        <v>0.12</v>
      </c>
      <c r="G139" s="9">
        <v>3024</v>
      </c>
      <c r="H139" s="11">
        <f t="shared" si="22"/>
        <v>2700</v>
      </c>
      <c r="I139" s="7">
        <f t="shared" si="23"/>
        <v>324</v>
      </c>
      <c r="J139" s="7">
        <f t="shared" si="24"/>
        <v>3024</v>
      </c>
      <c r="K139" s="7">
        <f t="shared" si="25"/>
        <v>0</v>
      </c>
      <c r="L139" s="8" t="str">
        <f t="shared" si="26"/>
        <v>Verified</v>
      </c>
      <c r="M139" s="8" t="str">
        <f t="shared" si="27"/>
        <v>Complete</v>
      </c>
      <c r="N139" s="39" t="str">
        <f t="shared" si="20"/>
        <v>Unique</v>
      </c>
      <c r="O139" s="8" t="str">
        <f t="shared" si="21"/>
        <v>Passed QC</v>
      </c>
    </row>
    <row r="140" spans="1:15">
      <c r="A140" s="25" t="s">
        <v>173</v>
      </c>
      <c r="B140" s="8" t="s">
        <v>16</v>
      </c>
      <c r="C140" s="8" t="s">
        <v>59</v>
      </c>
      <c r="D140" s="8">
        <v>38</v>
      </c>
      <c r="E140" s="9">
        <v>550</v>
      </c>
      <c r="F140" s="10">
        <v>0.18</v>
      </c>
      <c r="G140" s="9">
        <v>24662</v>
      </c>
      <c r="H140" s="11">
        <f t="shared" si="22"/>
        <v>20900</v>
      </c>
      <c r="I140" s="7">
        <f t="shared" si="23"/>
        <v>3762</v>
      </c>
      <c r="J140" s="7">
        <f t="shared" si="24"/>
        <v>24662</v>
      </c>
      <c r="K140" s="7">
        <f t="shared" si="25"/>
        <v>0</v>
      </c>
      <c r="L140" s="8" t="str">
        <f t="shared" si="26"/>
        <v>Verified</v>
      </c>
      <c r="M140" s="8" t="str">
        <f t="shared" si="27"/>
        <v>Complete</v>
      </c>
      <c r="N140" s="39" t="str">
        <f t="shared" si="20"/>
        <v>Unique</v>
      </c>
      <c r="O140" s="8" t="str">
        <f t="shared" si="21"/>
        <v>Passed QC</v>
      </c>
    </row>
    <row r="141" spans="1:15">
      <c r="A141" s="25" t="s">
        <v>174</v>
      </c>
      <c r="B141" s="8" t="s">
        <v>21</v>
      </c>
      <c r="C141" s="8" t="s">
        <v>9</v>
      </c>
      <c r="D141" s="8">
        <v>10</v>
      </c>
      <c r="E141" s="9">
        <v>25</v>
      </c>
      <c r="F141" s="10">
        <v>0.12</v>
      </c>
      <c r="G141" s="9">
        <v>280</v>
      </c>
      <c r="H141" s="11">
        <f t="shared" si="22"/>
        <v>250</v>
      </c>
      <c r="I141" s="7">
        <f t="shared" si="23"/>
        <v>30</v>
      </c>
      <c r="J141" s="7">
        <f t="shared" si="24"/>
        <v>280</v>
      </c>
      <c r="K141" s="7">
        <f t="shared" si="25"/>
        <v>0</v>
      </c>
      <c r="L141" s="8" t="str">
        <f t="shared" si="26"/>
        <v>Verified</v>
      </c>
      <c r="M141" s="8" t="str">
        <f t="shared" si="27"/>
        <v>Complete</v>
      </c>
      <c r="N141" s="39" t="str">
        <f t="shared" si="20"/>
        <v>Unique</v>
      </c>
      <c r="O141" s="8" t="str">
        <f t="shared" si="21"/>
        <v>Passed QC</v>
      </c>
    </row>
    <row r="142" spans="1:15">
      <c r="A142" s="25" t="s">
        <v>175</v>
      </c>
      <c r="B142" s="8" t="s">
        <v>67</v>
      </c>
      <c r="C142" s="8" t="s">
        <v>59</v>
      </c>
      <c r="D142" s="8">
        <v>14</v>
      </c>
      <c r="E142" s="9">
        <v>550</v>
      </c>
      <c r="F142" s="10">
        <v>0.18</v>
      </c>
      <c r="G142" s="9">
        <v>9011</v>
      </c>
      <c r="H142" s="11">
        <f t="shared" si="22"/>
        <v>7700</v>
      </c>
      <c r="I142" s="7">
        <f t="shared" si="23"/>
        <v>1386</v>
      </c>
      <c r="J142" s="7">
        <f t="shared" si="24"/>
        <v>9086</v>
      </c>
      <c r="K142" s="7">
        <f t="shared" si="25"/>
        <v>-75</v>
      </c>
      <c r="L142" s="8" t="str">
        <f t="shared" si="26"/>
        <v>Discrepancy</v>
      </c>
      <c r="M142" s="8" t="str">
        <f t="shared" si="27"/>
        <v>Complete</v>
      </c>
      <c r="N142" s="39" t="str">
        <f t="shared" si="20"/>
        <v>Unique</v>
      </c>
      <c r="O142" s="8" t="str">
        <f t="shared" si="21"/>
        <v>Amount Mismatch</v>
      </c>
    </row>
    <row r="143" spans="1:15">
      <c r="A143" s="25" t="s">
        <v>176</v>
      </c>
      <c r="B143" s="8" t="s">
        <v>21</v>
      </c>
      <c r="C143" s="8" t="s">
        <v>61</v>
      </c>
      <c r="D143" s="8">
        <v>11</v>
      </c>
      <c r="E143" s="9">
        <v>7200</v>
      </c>
      <c r="F143" s="10">
        <v>0.18</v>
      </c>
      <c r="G143" s="9">
        <v>93456</v>
      </c>
      <c r="H143" s="11">
        <f t="shared" si="22"/>
        <v>79200</v>
      </c>
      <c r="I143" s="7">
        <f t="shared" si="23"/>
        <v>14256</v>
      </c>
      <c r="J143" s="7">
        <f t="shared" si="24"/>
        <v>93456</v>
      </c>
      <c r="K143" s="7">
        <f t="shared" si="25"/>
        <v>0</v>
      </c>
      <c r="L143" s="8" t="str">
        <f t="shared" si="26"/>
        <v>Verified</v>
      </c>
      <c r="M143" s="8" t="str">
        <f t="shared" si="27"/>
        <v>Complete</v>
      </c>
      <c r="N143" s="39" t="str">
        <f t="shared" si="20"/>
        <v>Unique</v>
      </c>
      <c r="O143" s="8" t="str">
        <f t="shared" si="21"/>
        <v>Passed QC</v>
      </c>
    </row>
    <row r="144" spans="1:15">
      <c r="A144" s="25" t="s">
        <v>177</v>
      </c>
      <c r="B144" s="8" t="s">
        <v>40</v>
      </c>
      <c r="C144" s="8" t="s">
        <v>52</v>
      </c>
      <c r="D144" s="8">
        <v>21</v>
      </c>
      <c r="E144" s="9">
        <v>2200</v>
      </c>
      <c r="F144" s="10">
        <v>0.18</v>
      </c>
      <c r="G144" s="9">
        <v>54516</v>
      </c>
      <c r="H144" s="11">
        <f t="shared" si="22"/>
        <v>46200</v>
      </c>
      <c r="I144" s="7">
        <f t="shared" si="23"/>
        <v>8316</v>
      </c>
      <c r="J144" s="7">
        <f t="shared" si="24"/>
        <v>54516</v>
      </c>
      <c r="K144" s="7">
        <f t="shared" si="25"/>
        <v>0</v>
      </c>
      <c r="L144" s="8" t="str">
        <f t="shared" si="26"/>
        <v>Verified</v>
      </c>
      <c r="M144" s="8" t="str">
        <f t="shared" si="27"/>
        <v>Complete</v>
      </c>
      <c r="N144" s="39" t="str">
        <f t="shared" si="20"/>
        <v>Unique</v>
      </c>
      <c r="O144" s="8" t="str">
        <f t="shared" si="21"/>
        <v>Passed QC</v>
      </c>
    </row>
    <row r="145" spans="1:15">
      <c r="A145" s="25" t="s">
        <v>178</v>
      </c>
      <c r="B145" s="8" t="s">
        <v>24</v>
      </c>
      <c r="C145" s="8" t="s">
        <v>45</v>
      </c>
      <c r="D145" s="8">
        <v>13</v>
      </c>
      <c r="E145" s="9">
        <v>800</v>
      </c>
      <c r="F145" s="10">
        <v>0.18</v>
      </c>
      <c r="G145" s="9">
        <v>12272</v>
      </c>
      <c r="H145" s="11">
        <f t="shared" si="22"/>
        <v>10400</v>
      </c>
      <c r="I145" s="7">
        <f t="shared" si="23"/>
        <v>1872</v>
      </c>
      <c r="J145" s="7">
        <f t="shared" si="24"/>
        <v>12272</v>
      </c>
      <c r="K145" s="7">
        <f t="shared" si="25"/>
        <v>0</v>
      </c>
      <c r="L145" s="8" t="str">
        <f t="shared" si="26"/>
        <v>Verified</v>
      </c>
      <c r="M145" s="8" t="str">
        <f t="shared" si="27"/>
        <v>Complete</v>
      </c>
      <c r="N145" s="39" t="str">
        <f t="shared" si="20"/>
        <v>Unique</v>
      </c>
      <c r="O145" s="8" t="str">
        <f t="shared" si="21"/>
        <v>Passed QC</v>
      </c>
    </row>
    <row r="146" spans="1:15">
      <c r="A146" s="25" t="s">
        <v>179</v>
      </c>
      <c r="B146" s="8" t="s">
        <v>24</v>
      </c>
      <c r="C146" s="8" t="s">
        <v>52</v>
      </c>
      <c r="D146" s="8">
        <v>0</v>
      </c>
      <c r="E146" s="9">
        <v>2200</v>
      </c>
      <c r="F146" s="10">
        <v>0.18</v>
      </c>
      <c r="G146" s="9">
        <v>75284</v>
      </c>
      <c r="H146" s="11">
        <f t="shared" si="22"/>
        <v>0</v>
      </c>
      <c r="I146" s="7">
        <f t="shared" si="23"/>
        <v>0</v>
      </c>
      <c r="J146" s="7">
        <f t="shared" si="24"/>
        <v>0</v>
      </c>
      <c r="K146" s="7">
        <f t="shared" si="25"/>
        <v>75284</v>
      </c>
      <c r="L146" s="8" t="str">
        <f t="shared" si="26"/>
        <v>Discrepancy</v>
      </c>
      <c r="M146" s="8" t="str">
        <f t="shared" si="27"/>
        <v>Review Required</v>
      </c>
      <c r="N146" s="39" t="str">
        <f t="shared" si="20"/>
        <v>Unique</v>
      </c>
      <c r="O146" s="8" t="str">
        <f t="shared" si="21"/>
        <v>Incomplete - Review</v>
      </c>
    </row>
    <row r="147" spans="1:15">
      <c r="A147" s="25" t="s">
        <v>180</v>
      </c>
      <c r="B147" s="8" t="s">
        <v>40</v>
      </c>
      <c r="C147" s="8" t="s">
        <v>57</v>
      </c>
      <c r="D147" s="8">
        <v>12</v>
      </c>
      <c r="E147" s="9">
        <v>40</v>
      </c>
      <c r="F147" s="10">
        <v>0.12</v>
      </c>
      <c r="G147" s="9">
        <v>537.6</v>
      </c>
      <c r="H147" s="11">
        <f t="shared" si="22"/>
        <v>480</v>
      </c>
      <c r="I147" s="7">
        <f t="shared" si="23"/>
        <v>57.599999999999994</v>
      </c>
      <c r="J147" s="7">
        <f t="shared" si="24"/>
        <v>537.6</v>
      </c>
      <c r="K147" s="7">
        <f t="shared" si="25"/>
        <v>0</v>
      </c>
      <c r="L147" s="8" t="str">
        <f t="shared" si="26"/>
        <v>Verified</v>
      </c>
      <c r="M147" s="8" t="str">
        <f t="shared" si="27"/>
        <v>Complete</v>
      </c>
      <c r="N147" s="39" t="str">
        <f t="shared" si="20"/>
        <v>Unique</v>
      </c>
      <c r="O147" s="8" t="str">
        <f t="shared" si="21"/>
        <v>Passed QC</v>
      </c>
    </row>
    <row r="148" spans="1:15">
      <c r="A148" s="25" t="s">
        <v>181</v>
      </c>
      <c r="B148" s="8" t="s">
        <v>11</v>
      </c>
      <c r="C148" s="8" t="s">
        <v>25</v>
      </c>
      <c r="D148" s="8">
        <v>38</v>
      </c>
      <c r="E148" s="9">
        <v>300</v>
      </c>
      <c r="F148" s="10">
        <v>0.18</v>
      </c>
      <c r="G148" s="9">
        <v>13452</v>
      </c>
      <c r="H148" s="11">
        <f t="shared" si="22"/>
        <v>11400</v>
      </c>
      <c r="I148" s="7">
        <f t="shared" si="23"/>
        <v>2052</v>
      </c>
      <c r="J148" s="7">
        <f t="shared" si="24"/>
        <v>13452</v>
      </c>
      <c r="K148" s="7">
        <f t="shared" si="25"/>
        <v>0</v>
      </c>
      <c r="L148" s="8" t="str">
        <f t="shared" si="26"/>
        <v>Verified</v>
      </c>
      <c r="M148" s="8" t="str">
        <f t="shared" si="27"/>
        <v>Complete</v>
      </c>
      <c r="N148" s="39" t="str">
        <f t="shared" si="20"/>
        <v>Unique</v>
      </c>
      <c r="O148" s="8" t="str">
        <f t="shared" si="21"/>
        <v>Passed QC</v>
      </c>
    </row>
    <row r="149" spans="1:15">
      <c r="A149" s="25" t="s">
        <v>182</v>
      </c>
      <c r="B149" s="8" t="s">
        <v>33</v>
      </c>
      <c r="C149" s="8" t="s">
        <v>47</v>
      </c>
      <c r="D149" s="8">
        <v>44</v>
      </c>
      <c r="E149" s="9">
        <v>6500</v>
      </c>
      <c r="F149" s="10">
        <v>0.18</v>
      </c>
      <c r="G149" s="9">
        <v>337480</v>
      </c>
      <c r="H149" s="11">
        <f t="shared" si="22"/>
        <v>286000</v>
      </c>
      <c r="I149" s="7">
        <f t="shared" si="23"/>
        <v>51480</v>
      </c>
      <c r="J149" s="7">
        <f t="shared" si="24"/>
        <v>337480</v>
      </c>
      <c r="K149" s="7">
        <f t="shared" si="25"/>
        <v>0</v>
      </c>
      <c r="L149" s="8" t="str">
        <f t="shared" si="26"/>
        <v>Verified</v>
      </c>
      <c r="M149" s="8" t="str">
        <f t="shared" si="27"/>
        <v>Complete</v>
      </c>
      <c r="N149" s="39" t="str">
        <f t="shared" si="20"/>
        <v>Unique</v>
      </c>
      <c r="O149" s="8" t="str">
        <f t="shared" si="21"/>
        <v>Passed QC</v>
      </c>
    </row>
    <row r="150" spans="1:15">
      <c r="A150" s="25" t="s">
        <v>183</v>
      </c>
      <c r="B150" s="8" t="s">
        <v>67</v>
      </c>
      <c r="C150" s="8" t="s">
        <v>55</v>
      </c>
      <c r="D150" s="8">
        <v>22</v>
      </c>
      <c r="E150" s="9">
        <v>2500</v>
      </c>
      <c r="F150" s="10">
        <v>0.18</v>
      </c>
      <c r="G150" s="9">
        <v>64900</v>
      </c>
      <c r="H150" s="11">
        <f t="shared" si="22"/>
        <v>55000</v>
      </c>
      <c r="I150" s="7">
        <f t="shared" si="23"/>
        <v>9900</v>
      </c>
      <c r="J150" s="7">
        <f t="shared" si="24"/>
        <v>64900</v>
      </c>
      <c r="K150" s="7">
        <f t="shared" si="25"/>
        <v>0</v>
      </c>
      <c r="L150" s="8" t="str">
        <f t="shared" si="26"/>
        <v>Verified</v>
      </c>
      <c r="M150" s="8" t="str">
        <f t="shared" si="27"/>
        <v>Complete</v>
      </c>
      <c r="N150" s="39" t="str">
        <f t="shared" si="20"/>
        <v>Unique</v>
      </c>
      <c r="O150" s="8" t="str">
        <f t="shared" si="21"/>
        <v>Passed QC</v>
      </c>
    </row>
    <row r="151" spans="1:15">
      <c r="A151" s="33" t="s">
        <v>184</v>
      </c>
      <c r="B151" s="34" t="s">
        <v>67</v>
      </c>
      <c r="C151" s="34" t="s">
        <v>45</v>
      </c>
      <c r="D151" s="34">
        <v>19</v>
      </c>
      <c r="E151" s="35">
        <v>800</v>
      </c>
      <c r="F151" s="36">
        <v>0.18</v>
      </c>
      <c r="G151" s="35">
        <v>17936</v>
      </c>
      <c r="H151" s="37">
        <f t="shared" si="22"/>
        <v>15200</v>
      </c>
      <c r="I151" s="38">
        <f t="shared" si="23"/>
        <v>2736</v>
      </c>
      <c r="J151" s="38">
        <f>H151+I151</f>
        <v>17936</v>
      </c>
      <c r="K151" s="38">
        <f t="shared" si="25"/>
        <v>0</v>
      </c>
      <c r="L151" s="34" t="str">
        <f t="shared" si="26"/>
        <v>Verified</v>
      </c>
      <c r="M151" s="34" t="str">
        <f t="shared" si="27"/>
        <v>Complete</v>
      </c>
      <c r="N151" s="32" t="str">
        <f t="shared" si="20"/>
        <v>Unique</v>
      </c>
      <c r="O151" s="8" t="str">
        <f t="shared" si="21"/>
        <v>Passed QC</v>
      </c>
    </row>
  </sheetData>
  <conditionalFormatting sqref="L1:L1048576">
    <cfRule type="containsText" dxfId="7" priority="10" operator="containsText" text="Verified">
      <formula>NOT(ISERROR(SEARCH("Verified",L1)))</formula>
    </cfRule>
    <cfRule type="containsText" dxfId="6" priority="11" operator="containsText" text="Discrepancy">
      <formula>NOT(ISERROR(SEARCH("Discrepancy",L1)))</formula>
    </cfRule>
  </conditionalFormatting>
  <conditionalFormatting sqref="M1:M1048576">
    <cfRule type="containsText" dxfId="5" priority="6" operator="containsText" text="Complete">
      <formula>NOT(ISERROR(SEARCH("Complete",M1)))</formula>
    </cfRule>
    <cfRule type="containsText" dxfId="4" priority="7" operator="containsText" text="Review Required">
      <formula>NOT(ISERROR(SEARCH("Review Required",M1)))</formula>
    </cfRule>
    <cfRule type="iconSet" priority="8">
      <iconSet iconSet="3Symbols2">
        <cfvo type="percent" val="0"/>
        <cfvo type="percent" val="33"/>
        <cfvo type="percent" val="67"/>
      </iconSet>
    </cfRule>
  </conditionalFormatting>
  <conditionalFormatting sqref="N2:N1048576">
    <cfRule type="containsText" dxfId="3" priority="1" operator="containsText" text="Missing Invoice ID">
      <formula>NOT(ISERROR(SEARCH("Missing Invoice ID",N2)))</formula>
    </cfRule>
    <cfRule type="containsText" dxfId="2" priority="3" operator="containsText" text="Duplicate">
      <formula>NOT(ISERROR(SEARCH("Duplicate",N2)))</formula>
    </cfRule>
    <cfRule type="containsText" dxfId="1" priority="4" operator="containsText" text="Unique">
      <formula>NOT(ISERROR(SEARCH("Unique",N2)))</formula>
    </cfRule>
  </conditionalFormatting>
  <conditionalFormatting sqref="O6">
    <cfRule type="containsText" dxfId="0" priority="2" operator="containsText" text="Missing Invoice ID">
      <formula>NOT(ISERROR(SEARCH("Missing Invoice ID",O6)))</formula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ECBFC-B8DB-48FA-A699-5A335AF5FEF3}">
  <dimension ref="A1:M19"/>
  <sheetViews>
    <sheetView zoomScaleNormal="100" workbookViewId="0">
      <selection activeCell="D23" sqref="D23"/>
    </sheetView>
  </sheetViews>
  <sheetFormatPr defaultRowHeight="14.5"/>
  <cols>
    <col min="1" max="1" width="35.6328125" customWidth="1"/>
    <col min="2" max="2" width="9.7265625" customWidth="1"/>
    <col min="4" max="4" width="15.54296875" customWidth="1"/>
    <col min="7" max="7" width="20.1796875" customWidth="1"/>
    <col min="8" max="8" width="8.7265625" customWidth="1"/>
  </cols>
  <sheetData>
    <row r="1" spans="1:13" s="55" customFormat="1" ht="25" customHeight="1">
      <c r="A1" s="43" t="s">
        <v>202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</row>
    <row r="2" spans="1:13">
      <c r="A2" s="6"/>
      <c r="D2" s="22" t="s">
        <v>217</v>
      </c>
      <c r="E2" s="22" t="s">
        <v>218</v>
      </c>
      <c r="G2" s="22" t="s">
        <v>233</v>
      </c>
      <c r="H2" s="22" t="s">
        <v>218</v>
      </c>
    </row>
    <row r="3" spans="1:13">
      <c r="A3" s="20" t="s">
        <v>203</v>
      </c>
      <c r="B3" s="8">
        <f>COUNTA(tbl_invoices!A2:A151)</f>
        <v>148</v>
      </c>
      <c r="D3" s="20" t="s">
        <v>219</v>
      </c>
      <c r="E3" s="8">
        <f>COUNTIF(tbl_invoices!L2:L151,"Verified")</f>
        <v>132</v>
      </c>
      <c r="G3" s="20" t="s">
        <v>227</v>
      </c>
      <c r="H3" s="21">
        <f>B14</f>
        <v>118</v>
      </c>
    </row>
    <row r="4" spans="1:13">
      <c r="A4" s="20" t="s">
        <v>204</v>
      </c>
      <c r="B4" s="41">
        <f>COUNTIF(tbl_invoices!L2:L151,"Verified")</f>
        <v>132</v>
      </c>
      <c r="D4" s="20" t="s">
        <v>220</v>
      </c>
      <c r="E4" s="21">
        <f>COUNTIF(tbl_invoices!L2:L151,"Discrepancy")</f>
        <v>18</v>
      </c>
      <c r="G4" s="20" t="s">
        <v>228</v>
      </c>
      <c r="H4" s="21">
        <f>B15</f>
        <v>14</v>
      </c>
    </row>
    <row r="5" spans="1:13">
      <c r="A5" s="20" t="s">
        <v>205</v>
      </c>
      <c r="B5" s="8">
        <f>COUNTIF(tbl_invoices!L2:L151,"Discrepancy")</f>
        <v>18</v>
      </c>
      <c r="D5" s="20" t="s">
        <v>221</v>
      </c>
      <c r="E5" s="21">
        <f>COUNTIF(tbl_invoices!M2:M151,"Review Required")</f>
        <v>12</v>
      </c>
      <c r="G5" s="20" t="s">
        <v>234</v>
      </c>
      <c r="H5" s="21">
        <f>B16</f>
        <v>10</v>
      </c>
    </row>
    <row r="6" spans="1:13">
      <c r="A6" s="20" t="s">
        <v>206</v>
      </c>
      <c r="B6" s="41">
        <f>COUNTIF(tbl_invoices!M2:M151,"Review Required")</f>
        <v>12</v>
      </c>
      <c r="G6" s="20" t="s">
        <v>235</v>
      </c>
      <c r="H6" s="21">
        <f>B17</f>
        <v>6</v>
      </c>
    </row>
    <row r="7" spans="1:13">
      <c r="A7" s="20" t="s">
        <v>207</v>
      </c>
      <c r="B7" s="41">
        <f>COUNTIF(tbl_invoices!M2:M151,"Complete")</f>
        <v>138</v>
      </c>
      <c r="G7" s="20" t="s">
        <v>231</v>
      </c>
      <c r="H7" s="21">
        <f>B18</f>
        <v>2</v>
      </c>
    </row>
    <row r="8" spans="1:13">
      <c r="A8" s="20" t="s">
        <v>209</v>
      </c>
      <c r="B8" s="42">
        <f>IFERROR(B4/B3,0)</f>
        <v>0.89189189189189189</v>
      </c>
    </row>
    <row r="9" spans="1:13">
      <c r="A9" s="20" t="s">
        <v>208</v>
      </c>
      <c r="B9" s="42">
        <f>IFERROR(B7/B3,0)</f>
        <v>0.93243243243243246</v>
      </c>
    </row>
    <row r="10" spans="1:13">
      <c r="A10" s="20" t="s">
        <v>223</v>
      </c>
      <c r="B10" s="8">
        <f>COUNTIF(tbl_invoices!N2:N151,"Duplicate")</f>
        <v>6</v>
      </c>
    </row>
    <row r="11" spans="1:13">
      <c r="A11" s="20" t="s">
        <v>224</v>
      </c>
      <c r="B11" s="21">
        <f>COUNTIF(tbl_invoices!N2:N151,"Missing Invoice ID")</f>
        <v>2</v>
      </c>
    </row>
    <row r="13" spans="1:13">
      <c r="A13" s="44" t="s">
        <v>226</v>
      </c>
    </row>
    <row r="14" spans="1:13">
      <c r="A14" s="20" t="s">
        <v>227</v>
      </c>
      <c r="B14" s="21">
        <f>COUNTIF(tbl_invoices!O2:O151,"Passed QC")</f>
        <v>118</v>
      </c>
    </row>
    <row r="15" spans="1:13">
      <c r="A15" s="20" t="s">
        <v>228</v>
      </c>
      <c r="B15" s="21">
        <f>COUNTIF(tbl_invoices!O2:O151,"Amount Mismatch")</f>
        <v>14</v>
      </c>
    </row>
    <row r="16" spans="1:13">
      <c r="A16" s="20" t="s">
        <v>229</v>
      </c>
      <c r="B16" s="21">
        <f>COUNTIF(tbl_invoices!O2:O151,"Incomplete - Review")</f>
        <v>10</v>
      </c>
    </row>
    <row r="17" spans="1:2">
      <c r="A17" s="20" t="s">
        <v>230</v>
      </c>
      <c r="B17" s="21">
        <f>COUNTIF(tbl_invoices!O2:O151,"Duplicate - Investigate")</f>
        <v>6</v>
      </c>
    </row>
    <row r="18" spans="1:2">
      <c r="A18" s="20" t="s">
        <v>231</v>
      </c>
      <c r="B18" s="21">
        <f>COUNTIF(tbl_invoices!O2:O151,"Missing Invoice ID")</f>
        <v>2</v>
      </c>
    </row>
    <row r="19" spans="1:2">
      <c r="A19" s="45" t="s">
        <v>232</v>
      </c>
      <c r="B19" s="46">
        <f>IFERROR(B14/B3,0)</f>
        <v>0.79729729729729726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42AC6-8671-48AE-876B-6D056EC24C38}">
  <dimension ref="A1:H28"/>
  <sheetViews>
    <sheetView zoomScale="72" workbookViewId="0">
      <selection activeCell="H30" sqref="H30"/>
    </sheetView>
  </sheetViews>
  <sheetFormatPr defaultRowHeight="14.5"/>
  <cols>
    <col min="1" max="1" width="16.1796875" customWidth="1"/>
    <col min="3" max="3" width="16.6328125" customWidth="1"/>
    <col min="5" max="5" width="18.6328125" customWidth="1"/>
    <col min="7" max="7" width="18.81640625" customWidth="1"/>
    <col min="8" max="8" width="138.453125" customWidth="1"/>
  </cols>
  <sheetData>
    <row r="1" spans="1:8" ht="32" customHeight="1">
      <c r="A1" s="58" t="s">
        <v>210</v>
      </c>
      <c r="B1" s="58"/>
      <c r="C1" s="58"/>
      <c r="D1" s="58"/>
      <c r="E1" s="58"/>
      <c r="F1" s="58"/>
      <c r="G1" s="58"/>
      <c r="H1" s="58"/>
    </row>
    <row r="3" spans="1:8">
      <c r="A3" s="14" t="s">
        <v>211</v>
      </c>
      <c r="B3" s="12"/>
      <c r="C3" s="15" t="s">
        <v>212</v>
      </c>
      <c r="D3" s="12"/>
      <c r="E3" s="16" t="s">
        <v>213</v>
      </c>
      <c r="F3" s="12"/>
      <c r="G3" s="17" t="s">
        <v>214</v>
      </c>
    </row>
    <row r="4" spans="1:8" ht="31">
      <c r="A4" s="13">
        <f>QC_summary!B3</f>
        <v>148</v>
      </c>
      <c r="B4" s="12"/>
      <c r="C4" s="13">
        <f>QC_summary!B4</f>
        <v>132</v>
      </c>
      <c r="D4" s="12"/>
      <c r="E4" s="13">
        <f>QC_summary!B5</f>
        <v>18</v>
      </c>
      <c r="F4" s="12"/>
      <c r="G4" s="13">
        <f>QC_summary!B6</f>
        <v>12</v>
      </c>
    </row>
    <row r="7" spans="1:8">
      <c r="A7" s="59" t="s">
        <v>215</v>
      </c>
      <c r="B7" s="60"/>
      <c r="C7" s="59" t="s">
        <v>216</v>
      </c>
      <c r="D7" s="60"/>
      <c r="E7" s="48" t="s">
        <v>236</v>
      </c>
    </row>
    <row r="8" spans="1:8" ht="22.5">
      <c r="A8" s="19">
        <f>QC_summary!B8</f>
        <v>0.89189189189189189</v>
      </c>
      <c r="B8" s="18"/>
      <c r="C8" s="19">
        <f>QC_summary!B9</f>
        <v>0.93243243243243246</v>
      </c>
      <c r="D8" s="18"/>
      <c r="E8" s="49">
        <f>QC_summary!B19</f>
        <v>0.79729729729729726</v>
      </c>
    </row>
    <row r="27" spans="1:1">
      <c r="A27" s="6"/>
    </row>
    <row r="28" spans="1:1">
      <c r="A28" s="47"/>
    </row>
  </sheetData>
  <mergeCells count="3">
    <mergeCell ref="A1:H1"/>
    <mergeCell ref="C7:D7"/>
    <mergeCell ref="A7:B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zoomScale="79" workbookViewId="0">
      <selection activeCell="A12" sqref="A12"/>
    </sheetView>
  </sheetViews>
  <sheetFormatPr defaultRowHeight="14.5"/>
  <cols>
    <col min="1" max="1" width="19.08984375" bestFit="1" customWidth="1"/>
    <col min="2" max="2" width="45.26953125" bestFit="1" customWidth="1"/>
    <col min="3" max="3" width="27.90625" bestFit="1" customWidth="1"/>
  </cols>
  <sheetData>
    <row r="1" spans="1:3" ht="28" customHeight="1">
      <c r="A1" s="56" t="s">
        <v>185</v>
      </c>
      <c r="B1" s="57"/>
    </row>
    <row r="2" spans="1:3" ht="29">
      <c r="A2" s="4" t="s">
        <v>186</v>
      </c>
      <c r="B2" s="5" t="s">
        <v>187</v>
      </c>
    </row>
    <row r="3" spans="1:3" ht="29">
      <c r="A3" s="4" t="s">
        <v>188</v>
      </c>
      <c r="B3" s="5" t="s">
        <v>189</v>
      </c>
    </row>
    <row r="4" spans="1:3" ht="43.5">
      <c r="A4" s="4" t="s">
        <v>190</v>
      </c>
      <c r="B4" s="5" t="s">
        <v>191</v>
      </c>
    </row>
    <row r="5" spans="1:3" ht="43.5">
      <c r="A5" s="4" t="s">
        <v>192</v>
      </c>
      <c r="B5" s="5" t="s">
        <v>193</v>
      </c>
    </row>
    <row r="6" spans="1:3" ht="29">
      <c r="A6" s="4" t="s">
        <v>194</v>
      </c>
      <c r="B6" s="5" t="s">
        <v>195</v>
      </c>
    </row>
    <row r="10" spans="1:3" ht="36">
      <c r="B10" s="50" t="s">
        <v>237</v>
      </c>
    </row>
    <row r="11" spans="1:3">
      <c r="A11" s="51" t="s">
        <v>238</v>
      </c>
      <c r="B11" s="51" t="s">
        <v>239</v>
      </c>
      <c r="C11" s="51" t="s">
        <v>240</v>
      </c>
    </row>
    <row r="12" spans="1:3">
      <c r="A12" s="52" t="s">
        <v>241</v>
      </c>
      <c r="B12" s="52" t="s">
        <v>242</v>
      </c>
      <c r="C12" s="52" t="s">
        <v>243</v>
      </c>
    </row>
    <row r="13" spans="1:3">
      <c r="A13" s="52" t="s">
        <v>244</v>
      </c>
      <c r="B13" s="52" t="s">
        <v>245</v>
      </c>
      <c r="C13" s="52" t="s">
        <v>246</v>
      </c>
    </row>
    <row r="14" spans="1:3">
      <c r="A14" s="52" t="s">
        <v>247</v>
      </c>
      <c r="B14" s="52" t="s">
        <v>248</v>
      </c>
      <c r="C14" s="52" t="s">
        <v>249</v>
      </c>
    </row>
    <row r="15" spans="1:3">
      <c r="A15" s="52" t="s">
        <v>250</v>
      </c>
      <c r="B15" s="52" t="s">
        <v>251</v>
      </c>
      <c r="C15" s="53" t="s">
        <v>252</v>
      </c>
    </row>
    <row r="16" spans="1:3">
      <c r="A16" s="52" t="s">
        <v>253</v>
      </c>
      <c r="B16" s="52" t="s">
        <v>254</v>
      </c>
      <c r="C16" s="53" t="s">
        <v>255</v>
      </c>
    </row>
    <row r="17" spans="1:3">
      <c r="A17" s="52" t="s">
        <v>256</v>
      </c>
      <c r="B17" s="52" t="s">
        <v>257</v>
      </c>
      <c r="C17" s="53" t="s">
        <v>258</v>
      </c>
    </row>
    <row r="18" spans="1:3">
      <c r="A18" s="52" t="s">
        <v>259</v>
      </c>
      <c r="B18" s="52" t="s">
        <v>260</v>
      </c>
      <c r="C18" s="52" t="s">
        <v>261</v>
      </c>
    </row>
    <row r="19" spans="1:3">
      <c r="A19" s="52" t="s">
        <v>262</v>
      </c>
      <c r="B19" s="52" t="s">
        <v>263</v>
      </c>
      <c r="C19" s="53" t="s">
        <v>264</v>
      </c>
    </row>
  </sheetData>
  <mergeCells count="1">
    <mergeCell ref="A1:B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Raw_Invoice_Data</vt:lpstr>
      <vt:lpstr>tbl_invoices</vt:lpstr>
      <vt:lpstr>QC_summary</vt:lpstr>
      <vt:lpstr>Invoice_dashboard</vt:lpstr>
      <vt:lpstr>Project_Overview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Priyanshi Goyal</cp:lastModifiedBy>
  <dcterms:created xsi:type="dcterms:W3CDTF">2026-10-25T15:59:03Z</dcterms:created>
  <dcterms:modified xsi:type="dcterms:W3CDTF">2026-10-29T10:49:49Z</dcterms:modified>
</cp:coreProperties>
</file>